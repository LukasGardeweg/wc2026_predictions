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Dokumente\Institut für Sportinformatik\WM Prognose 2026\"/>
    </mc:Choice>
  </mc:AlternateContent>
  <xr:revisionPtr revIDLastSave="0" documentId="13_ncr:1_{7D969032-616F-4B4A-98AD-106044D2A0B6}" xr6:coauthVersionLast="47" xr6:coauthVersionMax="47" xr10:uidLastSave="{00000000-0000-0000-0000-000000000000}"/>
  <bookViews>
    <workbookView xWindow="-108" yWindow="-108" windowWidth="23256" windowHeight="12576" xr2:uid="{D5C187C3-7393-472A-A4B0-1EBCCC168790}"/>
  </bookViews>
  <sheets>
    <sheet name="Oddspedia" sheetId="1" r:id="rId1"/>
    <sheet name="Betbra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50" i="1" l="1"/>
  <c r="CC54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6" i="1"/>
  <c r="CA6" i="1"/>
  <c r="CB6" i="1" s="1"/>
  <c r="CA7" i="1"/>
  <c r="CB7" i="1" s="1"/>
  <c r="CA8" i="1"/>
  <c r="CB8" i="1" s="1"/>
  <c r="CA9" i="1"/>
  <c r="CB9" i="1" s="1"/>
  <c r="CA10" i="1"/>
  <c r="CB10" i="1" s="1"/>
  <c r="CA11" i="1"/>
  <c r="CB11" i="1" s="1"/>
  <c r="CA12" i="1"/>
  <c r="CB12" i="1" s="1"/>
  <c r="CA13" i="1"/>
  <c r="CB13" i="1" s="1"/>
  <c r="CA14" i="1"/>
  <c r="CB14" i="1" s="1"/>
  <c r="CA15" i="1"/>
  <c r="CB15" i="1" s="1"/>
  <c r="CA16" i="1"/>
  <c r="CB16" i="1" s="1"/>
  <c r="CA17" i="1"/>
  <c r="CB17" i="1" s="1"/>
  <c r="CA18" i="1"/>
  <c r="CB18" i="1" s="1"/>
  <c r="CA19" i="1"/>
  <c r="CB19" i="1" s="1"/>
  <c r="CA20" i="1"/>
  <c r="CB20" i="1" s="1"/>
  <c r="CA21" i="1"/>
  <c r="CB21" i="1" s="1"/>
  <c r="CA22" i="1"/>
  <c r="CB22" i="1" s="1"/>
  <c r="CA23" i="1"/>
  <c r="CB23" i="1" s="1"/>
  <c r="CA24" i="1"/>
  <c r="CB24" i="1" s="1"/>
  <c r="CA25" i="1"/>
  <c r="CB25" i="1" s="1"/>
  <c r="CA26" i="1"/>
  <c r="CB26" i="1" s="1"/>
  <c r="CA27" i="1"/>
  <c r="CB27" i="1" s="1"/>
  <c r="CA28" i="1"/>
  <c r="CB28" i="1" s="1"/>
  <c r="CA29" i="1"/>
  <c r="CB29" i="1" s="1"/>
  <c r="CA30" i="1"/>
  <c r="CB30" i="1" s="1"/>
  <c r="CA31" i="1"/>
  <c r="CB31" i="1" s="1"/>
  <c r="CA32" i="1"/>
  <c r="CB32" i="1" s="1"/>
  <c r="CA33" i="1"/>
  <c r="CB33" i="1" s="1"/>
  <c r="CA34" i="1"/>
  <c r="CB34" i="1" s="1"/>
  <c r="CA35" i="1"/>
  <c r="CB35" i="1" s="1"/>
  <c r="CA36" i="1"/>
  <c r="CB36" i="1" s="1"/>
  <c r="CA37" i="1"/>
  <c r="CB37" i="1" s="1"/>
  <c r="CA38" i="1"/>
  <c r="CB38" i="1" s="1"/>
  <c r="CA39" i="1"/>
  <c r="CB39" i="1" s="1"/>
  <c r="CA40" i="1"/>
  <c r="CB40" i="1" s="1"/>
  <c r="CA41" i="1"/>
  <c r="CB41" i="1" s="1"/>
  <c r="CA42" i="1"/>
  <c r="CB42" i="1" s="1"/>
  <c r="CA43" i="1"/>
  <c r="CB43" i="1" s="1"/>
  <c r="CA44" i="1"/>
  <c r="CB44" i="1" s="1"/>
  <c r="CA45" i="1"/>
  <c r="CB45" i="1" s="1"/>
  <c r="CA46" i="1"/>
  <c r="CB46" i="1" s="1"/>
  <c r="CA47" i="1"/>
  <c r="CB47" i="1" s="1"/>
  <c r="CA48" i="1"/>
  <c r="CB48" i="1" s="1"/>
  <c r="CA49" i="1"/>
  <c r="CB49" i="1" s="1"/>
  <c r="CA50" i="1"/>
  <c r="CB50" i="1" s="1"/>
  <c r="CA51" i="1"/>
  <c r="CB51" i="1" s="1"/>
  <c r="CA52" i="1"/>
  <c r="CB52" i="1" s="1"/>
  <c r="CA53" i="1"/>
  <c r="CB53" i="1" s="1"/>
  <c r="BI54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1" i="1"/>
  <c r="BS52" i="1"/>
  <c r="BS53" i="1"/>
  <c r="BS6" i="1"/>
  <c r="BS54" i="1"/>
  <c r="BQ6" i="1"/>
  <c r="BR6" i="1" s="1"/>
  <c r="BQ7" i="1"/>
  <c r="BR7" i="1" s="1"/>
  <c r="BQ8" i="1"/>
  <c r="BR8" i="1" s="1"/>
  <c r="BQ9" i="1"/>
  <c r="BR9" i="1" s="1"/>
  <c r="BQ10" i="1"/>
  <c r="BR10" i="1" s="1"/>
  <c r="BQ11" i="1"/>
  <c r="BR11" i="1" s="1"/>
  <c r="BQ12" i="1"/>
  <c r="BR12" i="1" s="1"/>
  <c r="BQ13" i="1"/>
  <c r="BR13" i="1" s="1"/>
  <c r="BQ14" i="1"/>
  <c r="BR14" i="1" s="1"/>
  <c r="BQ15" i="1"/>
  <c r="BR15" i="1" s="1"/>
  <c r="BQ16" i="1"/>
  <c r="BR16" i="1" s="1"/>
  <c r="BQ17" i="1"/>
  <c r="BR17" i="1" s="1"/>
  <c r="BQ18" i="1"/>
  <c r="BR18" i="1" s="1"/>
  <c r="BQ19" i="1"/>
  <c r="BR19" i="1" s="1"/>
  <c r="BQ20" i="1"/>
  <c r="BR20" i="1" s="1"/>
  <c r="BQ21" i="1"/>
  <c r="BR21" i="1" s="1"/>
  <c r="BQ22" i="1"/>
  <c r="BR22" i="1" s="1"/>
  <c r="BQ23" i="1"/>
  <c r="BR23" i="1" s="1"/>
  <c r="BQ24" i="1"/>
  <c r="BR24" i="1" s="1"/>
  <c r="BQ25" i="1"/>
  <c r="BR25" i="1" s="1"/>
  <c r="BQ26" i="1"/>
  <c r="BR26" i="1" s="1"/>
  <c r="BQ27" i="1"/>
  <c r="BR27" i="1" s="1"/>
  <c r="BQ28" i="1"/>
  <c r="BR28" i="1" s="1"/>
  <c r="BQ29" i="1"/>
  <c r="BR29" i="1" s="1"/>
  <c r="BQ30" i="1"/>
  <c r="BR30" i="1" s="1"/>
  <c r="BQ31" i="1"/>
  <c r="BR31" i="1" s="1"/>
  <c r="BQ32" i="1"/>
  <c r="BR32" i="1" s="1"/>
  <c r="BQ33" i="1"/>
  <c r="BR33" i="1" s="1"/>
  <c r="BQ34" i="1"/>
  <c r="BR34" i="1" s="1"/>
  <c r="BQ35" i="1"/>
  <c r="BR35" i="1" s="1"/>
  <c r="BQ36" i="1"/>
  <c r="BR36" i="1" s="1"/>
  <c r="BQ37" i="1"/>
  <c r="BR37" i="1" s="1"/>
  <c r="BQ38" i="1"/>
  <c r="BR38" i="1" s="1"/>
  <c r="BQ39" i="1"/>
  <c r="BR39" i="1" s="1"/>
  <c r="BQ40" i="1"/>
  <c r="BR40" i="1" s="1"/>
  <c r="BQ41" i="1"/>
  <c r="BR41" i="1" s="1"/>
  <c r="BQ42" i="1"/>
  <c r="BR42" i="1" s="1"/>
  <c r="BQ43" i="1"/>
  <c r="BR43" i="1" s="1"/>
  <c r="BQ44" i="1"/>
  <c r="BR44" i="1" s="1"/>
  <c r="BQ45" i="1"/>
  <c r="BR45" i="1" s="1"/>
  <c r="BQ46" i="1"/>
  <c r="BR46" i="1" s="1"/>
  <c r="BQ47" i="1"/>
  <c r="BR47" i="1" s="1"/>
  <c r="BQ48" i="1"/>
  <c r="BR48" i="1" s="1"/>
  <c r="BQ49" i="1"/>
  <c r="BR49" i="1" s="1"/>
  <c r="BQ50" i="1"/>
  <c r="BR50" i="1" s="1"/>
  <c r="BQ51" i="1"/>
  <c r="BR51" i="1" s="1"/>
  <c r="BQ52" i="1"/>
  <c r="BR52" i="1" s="1"/>
  <c r="BQ53" i="1"/>
  <c r="BR53" i="1" s="1"/>
  <c r="G54" i="1"/>
  <c r="BG42" i="1"/>
  <c r="BH42" i="1" s="1"/>
  <c r="BG43" i="1"/>
  <c r="BH43" i="1" s="1"/>
  <c r="BG44" i="1"/>
  <c r="BH44" i="1" s="1"/>
  <c r="BG6" i="1"/>
  <c r="BH6" i="1" s="1"/>
  <c r="BG7" i="1"/>
  <c r="BH7" i="1" s="1"/>
  <c r="BG8" i="1"/>
  <c r="BH8" i="1" s="1"/>
  <c r="BG9" i="1"/>
  <c r="BH9" i="1" s="1"/>
  <c r="BG10" i="1"/>
  <c r="BH10" i="1" s="1"/>
  <c r="BG11" i="1"/>
  <c r="BH11" i="1" s="1"/>
  <c r="BG12" i="1"/>
  <c r="BH12" i="1" s="1"/>
  <c r="BG13" i="1"/>
  <c r="BH13" i="1" s="1"/>
  <c r="BG14" i="1"/>
  <c r="BH14" i="1" s="1"/>
  <c r="BG15" i="1"/>
  <c r="BH15" i="1" s="1"/>
  <c r="BG16" i="1"/>
  <c r="BH16" i="1" s="1"/>
  <c r="BG17" i="1"/>
  <c r="BH17" i="1" s="1"/>
  <c r="BG18" i="1"/>
  <c r="BH18" i="1" s="1"/>
  <c r="BG19" i="1"/>
  <c r="BH19" i="1" s="1"/>
  <c r="BG20" i="1"/>
  <c r="BH20" i="1" s="1"/>
  <c r="BG21" i="1"/>
  <c r="BH21" i="1" s="1"/>
  <c r="BG22" i="1"/>
  <c r="BH22" i="1" s="1"/>
  <c r="BG23" i="1"/>
  <c r="BH23" i="1" s="1"/>
  <c r="BG24" i="1"/>
  <c r="BH24" i="1" s="1"/>
  <c r="BG25" i="1"/>
  <c r="BH25" i="1" s="1"/>
  <c r="BG26" i="1"/>
  <c r="BH26" i="1" s="1"/>
  <c r="BG27" i="1"/>
  <c r="BH27" i="1" s="1"/>
  <c r="BG28" i="1"/>
  <c r="BH28" i="1" s="1"/>
  <c r="BG29" i="1"/>
  <c r="BH29" i="1" s="1"/>
  <c r="BG30" i="1"/>
  <c r="BH30" i="1" s="1"/>
  <c r="BG31" i="1"/>
  <c r="BH31" i="1" s="1"/>
  <c r="BG32" i="1"/>
  <c r="BH32" i="1" s="1"/>
  <c r="BG33" i="1"/>
  <c r="BH33" i="1" s="1"/>
  <c r="BG34" i="1"/>
  <c r="BH34" i="1" s="1"/>
  <c r="BG35" i="1"/>
  <c r="BH35" i="1" s="1"/>
  <c r="BG36" i="1"/>
  <c r="BH36" i="1" s="1"/>
  <c r="BG37" i="1"/>
  <c r="BH37" i="1" s="1"/>
  <c r="BG38" i="1"/>
  <c r="BH38" i="1" s="1"/>
  <c r="BG39" i="1"/>
  <c r="BH39" i="1" s="1"/>
  <c r="BG40" i="1"/>
  <c r="BH40" i="1" s="1"/>
  <c r="BG41" i="1"/>
  <c r="BH41" i="1" s="1"/>
  <c r="BG45" i="1"/>
  <c r="BH45" i="1" s="1"/>
  <c r="BG46" i="1"/>
  <c r="BH46" i="1" s="1"/>
  <c r="BG47" i="1"/>
  <c r="BH47" i="1" s="1"/>
  <c r="BG48" i="1"/>
  <c r="BH48" i="1" s="1"/>
  <c r="BG49" i="1"/>
  <c r="BH49" i="1" s="1"/>
  <c r="BG50" i="1"/>
  <c r="BH50" i="1" s="1"/>
  <c r="BG51" i="1"/>
  <c r="BH51" i="1" s="1"/>
  <c r="BG52" i="1"/>
  <c r="BH52" i="1" s="1"/>
  <c r="BG53" i="1"/>
  <c r="BH53" i="1" s="1"/>
  <c r="M6" i="1"/>
  <c r="M54" i="1" s="1"/>
  <c r="L51" i="1"/>
  <c r="L6" i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K47" i="1"/>
  <c r="L47" i="1" s="1"/>
  <c r="K48" i="1"/>
  <c r="L48" i="1" s="1"/>
  <c r="K49" i="1"/>
  <c r="L49" i="1" s="1"/>
  <c r="K50" i="1"/>
  <c r="L50" i="1" s="1"/>
  <c r="K51" i="1"/>
  <c r="K52" i="1"/>
  <c r="L52" i="1" s="1"/>
  <c r="K53" i="1"/>
  <c r="L53" i="1" s="1"/>
  <c r="K6" i="1"/>
  <c r="L46" i="1"/>
  <c r="AW7" i="1"/>
  <c r="AX7" i="1" s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X24" i="1" s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X44" i="1" s="1"/>
  <c r="AW45" i="1"/>
  <c r="AW46" i="1"/>
  <c r="AW47" i="1"/>
  <c r="AW48" i="1"/>
  <c r="AW49" i="1"/>
  <c r="AW50" i="1"/>
  <c r="AW51" i="1"/>
  <c r="AW52" i="1"/>
  <c r="AW53" i="1"/>
  <c r="AX53" i="1"/>
  <c r="AX52" i="1"/>
  <c r="AX51" i="1"/>
  <c r="AX50" i="1"/>
  <c r="AX49" i="1"/>
  <c r="AX48" i="1"/>
  <c r="AX47" i="1"/>
  <c r="AX46" i="1"/>
  <c r="AX45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W6" i="1"/>
  <c r="AX6" i="1" s="1"/>
  <c r="AM7" i="1"/>
  <c r="AN7" i="1" s="1"/>
  <c r="AM8" i="1"/>
  <c r="AN8" i="1" s="1"/>
  <c r="AM9" i="1"/>
  <c r="AN9" i="1" s="1"/>
  <c r="AM10" i="1"/>
  <c r="AN10" i="1" s="1"/>
  <c r="AM11" i="1"/>
  <c r="AM12" i="1"/>
  <c r="AM13" i="1"/>
  <c r="AN13" i="1" s="1"/>
  <c r="AM14" i="1"/>
  <c r="AN14" i="1" s="1"/>
  <c r="AM15" i="1"/>
  <c r="AN15" i="1" s="1"/>
  <c r="AM16" i="1"/>
  <c r="AN16" i="1" s="1"/>
  <c r="AM17" i="1"/>
  <c r="AM18" i="1"/>
  <c r="AN18" i="1" s="1"/>
  <c r="AM19" i="1"/>
  <c r="AM20" i="1"/>
  <c r="AM21" i="1"/>
  <c r="AN21" i="1" s="1"/>
  <c r="AM22" i="1"/>
  <c r="AN22" i="1" s="1"/>
  <c r="AM23" i="1"/>
  <c r="AM24" i="1"/>
  <c r="AN24" i="1" s="1"/>
  <c r="AM25" i="1"/>
  <c r="AM26" i="1"/>
  <c r="AM27" i="1"/>
  <c r="AM28" i="1"/>
  <c r="AN28" i="1" s="1"/>
  <c r="AM29" i="1"/>
  <c r="AN29" i="1" s="1"/>
  <c r="AM30" i="1"/>
  <c r="AN30" i="1" s="1"/>
  <c r="AM31" i="1"/>
  <c r="AN31" i="1" s="1"/>
  <c r="AM32" i="1"/>
  <c r="AN32" i="1" s="1"/>
  <c r="AM33" i="1"/>
  <c r="AM34" i="1"/>
  <c r="AN34" i="1" s="1"/>
  <c r="AM35" i="1"/>
  <c r="AN35" i="1" s="1"/>
  <c r="AM36" i="1"/>
  <c r="AN36" i="1" s="1"/>
  <c r="AM37" i="1"/>
  <c r="AN37" i="1" s="1"/>
  <c r="AM38" i="1"/>
  <c r="AN38" i="1" s="1"/>
  <c r="AM39" i="1"/>
  <c r="AN39" i="1" s="1"/>
  <c r="AM40" i="1"/>
  <c r="AN40" i="1" s="1"/>
  <c r="AM41" i="1"/>
  <c r="AN41" i="1" s="1"/>
  <c r="AM42" i="1"/>
  <c r="AN42" i="1" s="1"/>
  <c r="AM43" i="1"/>
  <c r="AM44" i="1"/>
  <c r="AN44" i="1" s="1"/>
  <c r="AM45" i="1"/>
  <c r="AM46" i="1"/>
  <c r="AN46" i="1" s="1"/>
  <c r="AM47" i="1"/>
  <c r="AM48" i="1"/>
  <c r="AN48" i="1" s="1"/>
  <c r="AM49" i="1"/>
  <c r="AN49" i="1" s="1"/>
  <c r="AM50" i="1"/>
  <c r="AN50" i="1" s="1"/>
  <c r="AM51" i="1"/>
  <c r="AN51" i="1" s="1"/>
  <c r="AM52" i="1"/>
  <c r="AN52" i="1" s="1"/>
  <c r="AM53" i="1"/>
  <c r="AN53" i="1" s="1"/>
  <c r="AM6" i="1"/>
  <c r="AN6" i="1" s="1"/>
  <c r="AN11" i="1"/>
  <c r="AN12" i="1"/>
  <c r="AN17" i="1"/>
  <c r="AN19" i="1"/>
  <c r="AN20" i="1"/>
  <c r="AN23" i="1"/>
  <c r="AN25" i="1"/>
  <c r="AN26" i="1"/>
  <c r="AN27" i="1"/>
  <c r="AN33" i="1"/>
  <c r="AN43" i="1"/>
  <c r="AN45" i="1"/>
  <c r="AN47" i="1"/>
  <c r="AC6" i="1"/>
  <c r="AD6" i="1" s="1"/>
  <c r="AC7" i="1"/>
  <c r="AD7" i="1" s="1"/>
  <c r="AC8" i="1"/>
  <c r="AD8" i="1" s="1"/>
  <c r="AC9" i="1"/>
  <c r="AD9" i="1" s="1"/>
  <c r="AC10" i="1"/>
  <c r="AD10" i="1" s="1"/>
  <c r="AC11" i="1"/>
  <c r="AD11" i="1" s="1"/>
  <c r="AC12" i="1"/>
  <c r="AD12" i="1" s="1"/>
  <c r="AC13" i="1"/>
  <c r="AD13" i="1" s="1"/>
  <c r="AC14" i="1"/>
  <c r="AD14" i="1" s="1"/>
  <c r="AC15" i="1"/>
  <c r="AD15" i="1" s="1"/>
  <c r="AC16" i="1"/>
  <c r="AD16" i="1" s="1"/>
  <c r="AC17" i="1"/>
  <c r="AD17" i="1" s="1"/>
  <c r="AC18" i="1"/>
  <c r="AD18" i="1" s="1"/>
  <c r="AC19" i="1"/>
  <c r="AD19" i="1" s="1"/>
  <c r="AC20" i="1"/>
  <c r="AD20" i="1" s="1"/>
  <c r="AC21" i="1"/>
  <c r="AD21" i="1" s="1"/>
  <c r="AC22" i="1"/>
  <c r="AD22" i="1" s="1"/>
  <c r="AC23" i="1"/>
  <c r="AD23" i="1" s="1"/>
  <c r="AC24" i="1"/>
  <c r="AD24" i="1" s="1"/>
  <c r="AC25" i="1"/>
  <c r="AD25" i="1" s="1"/>
  <c r="AC26" i="1"/>
  <c r="AD26" i="1" s="1"/>
  <c r="AC27" i="1"/>
  <c r="AD27" i="1" s="1"/>
  <c r="AC28" i="1"/>
  <c r="AD28" i="1" s="1"/>
  <c r="AC29" i="1"/>
  <c r="AD29" i="1" s="1"/>
  <c r="AC30" i="1"/>
  <c r="AD30" i="1" s="1"/>
  <c r="AC31" i="1"/>
  <c r="AD31" i="1" s="1"/>
  <c r="AC32" i="1"/>
  <c r="AD32" i="1" s="1"/>
  <c r="AC33" i="1"/>
  <c r="AD33" i="1" s="1"/>
  <c r="AC34" i="1"/>
  <c r="AD34" i="1" s="1"/>
  <c r="AC35" i="1"/>
  <c r="AD35" i="1" s="1"/>
  <c r="AC36" i="1"/>
  <c r="AD36" i="1" s="1"/>
  <c r="AC37" i="1"/>
  <c r="AD37" i="1" s="1"/>
  <c r="AC38" i="1"/>
  <c r="AD38" i="1" s="1"/>
  <c r="AC39" i="1"/>
  <c r="AD39" i="1" s="1"/>
  <c r="AC40" i="1"/>
  <c r="AD40" i="1" s="1"/>
  <c r="AC41" i="1"/>
  <c r="AD41" i="1" s="1"/>
  <c r="AC42" i="1"/>
  <c r="AD42" i="1" s="1"/>
  <c r="AC43" i="1"/>
  <c r="AD43" i="1" s="1"/>
  <c r="AC44" i="1"/>
  <c r="AD44" i="1" s="1"/>
  <c r="AC45" i="1"/>
  <c r="AD45" i="1" s="1"/>
  <c r="AC46" i="1"/>
  <c r="AD46" i="1" s="1"/>
  <c r="AC47" i="1"/>
  <c r="AD47" i="1" s="1"/>
  <c r="AC48" i="1"/>
  <c r="AD48" i="1" s="1"/>
  <c r="AC49" i="1"/>
  <c r="AD49" i="1" s="1"/>
  <c r="AC50" i="1"/>
  <c r="AD50" i="1" s="1"/>
  <c r="AC51" i="1"/>
  <c r="AD51" i="1" s="1"/>
  <c r="AC52" i="1"/>
  <c r="AD52" i="1" s="1"/>
  <c r="AC53" i="1"/>
  <c r="AD53" i="1" s="1"/>
  <c r="Q19" i="1"/>
  <c r="R19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Q7" i="1"/>
  <c r="R7" i="1" s="1"/>
  <c r="Q8" i="1"/>
  <c r="Q9" i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Q17" i="1"/>
  <c r="Q18" i="1"/>
  <c r="R18" i="1" s="1"/>
  <c r="Q20" i="1"/>
  <c r="R20" i="1" s="1"/>
  <c r="Q21" i="1"/>
  <c r="R21" i="1" s="1"/>
  <c r="Q22" i="1"/>
  <c r="Q23" i="1"/>
  <c r="R23" i="1" s="1"/>
  <c r="Q24" i="1"/>
  <c r="R24" i="1" s="1"/>
  <c r="Q25" i="1"/>
  <c r="Q26" i="1"/>
  <c r="Q27" i="1"/>
  <c r="R27" i="1" s="1"/>
  <c r="Q28" i="1"/>
  <c r="R28" i="1" s="1"/>
  <c r="Q29" i="1"/>
  <c r="R29" i="1" s="1"/>
  <c r="Q30" i="1"/>
  <c r="R30" i="1" s="1"/>
  <c r="Q31" i="1"/>
  <c r="R31" i="1" s="1"/>
  <c r="Q32" i="1"/>
  <c r="Q33" i="1"/>
  <c r="Q34" i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Q42" i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Q50" i="1"/>
  <c r="Q51" i="1"/>
  <c r="R51" i="1" s="1"/>
  <c r="Q52" i="1"/>
  <c r="R52" i="1" s="1"/>
  <c r="Q53" i="1"/>
  <c r="R53" i="1" s="1"/>
  <c r="Q6" i="1"/>
  <c r="R6" i="1" s="1"/>
  <c r="R50" i="1"/>
  <c r="R49" i="1"/>
  <c r="R42" i="1"/>
  <c r="R41" i="1"/>
  <c r="R34" i="1"/>
  <c r="R33" i="1"/>
  <c r="R32" i="1"/>
  <c r="R26" i="1"/>
  <c r="R25" i="1"/>
  <c r="R22" i="1"/>
  <c r="R17" i="1"/>
  <c r="R16" i="1"/>
  <c r="R9" i="1"/>
  <c r="R8" i="1"/>
  <c r="E41" i="1"/>
  <c r="F41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6" i="1"/>
  <c r="F6" i="1" s="1"/>
  <c r="F54" i="1" s="1"/>
  <c r="D56" i="2"/>
  <c r="E56" i="2" s="1"/>
  <c r="D55" i="2"/>
  <c r="E55" i="2" s="1"/>
  <c r="D54" i="2"/>
  <c r="E54" i="2" s="1"/>
  <c r="D53" i="2"/>
  <c r="E53" i="2" s="1"/>
  <c r="D52" i="2"/>
  <c r="E52" i="2" s="1"/>
  <c r="D51" i="2"/>
  <c r="E51" i="2" s="1"/>
  <c r="D47" i="2"/>
  <c r="E47" i="2" s="1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D40" i="2"/>
  <c r="E40" i="2" s="1"/>
  <c r="D39" i="2"/>
  <c r="E39" i="2" s="1"/>
  <c r="D38" i="2"/>
  <c r="E38" i="2" s="1"/>
  <c r="L37" i="2"/>
  <c r="H37" i="2"/>
  <c r="D37" i="2"/>
  <c r="L36" i="2"/>
  <c r="H36" i="2"/>
  <c r="D36" i="2"/>
  <c r="L35" i="2"/>
  <c r="H35" i="2"/>
  <c r="D35" i="2"/>
  <c r="L34" i="2"/>
  <c r="H34" i="2"/>
  <c r="D34" i="2"/>
  <c r="L33" i="2"/>
  <c r="H33" i="2"/>
  <c r="D33" i="2"/>
  <c r="L32" i="2"/>
  <c r="H32" i="2"/>
  <c r="D32" i="2"/>
  <c r="L31" i="2"/>
  <c r="H31" i="2"/>
  <c r="D31" i="2"/>
  <c r="L30" i="2"/>
  <c r="H30" i="2"/>
  <c r="D30" i="2"/>
  <c r="L29" i="2"/>
  <c r="H29" i="2"/>
  <c r="D29" i="2"/>
  <c r="L28" i="2"/>
  <c r="H28" i="2"/>
  <c r="D28" i="2"/>
  <c r="L27" i="2"/>
  <c r="H27" i="2"/>
  <c r="D27" i="2"/>
  <c r="L26" i="2"/>
  <c r="H26" i="2"/>
  <c r="D26" i="2"/>
  <c r="L25" i="2"/>
  <c r="H25" i="2"/>
  <c r="D25" i="2"/>
  <c r="L24" i="2"/>
  <c r="H24" i="2"/>
  <c r="D24" i="2"/>
  <c r="L23" i="2"/>
  <c r="H23" i="2"/>
  <c r="D23" i="2"/>
  <c r="L22" i="2"/>
  <c r="H22" i="2"/>
  <c r="D22" i="2"/>
  <c r="L21" i="2"/>
  <c r="H21" i="2"/>
  <c r="D21" i="2"/>
  <c r="L20" i="2"/>
  <c r="H20" i="2"/>
  <c r="D20" i="2"/>
  <c r="L19" i="2"/>
  <c r="H19" i="2"/>
  <c r="D19" i="2"/>
  <c r="L18" i="2"/>
  <c r="H18" i="2"/>
  <c r="D18" i="2"/>
  <c r="L17" i="2"/>
  <c r="H17" i="2"/>
  <c r="D17" i="2"/>
  <c r="L16" i="2"/>
  <c r="H16" i="2"/>
  <c r="D16" i="2"/>
  <c r="L15" i="2"/>
  <c r="H15" i="2"/>
  <c r="D15" i="2"/>
  <c r="L14" i="2"/>
  <c r="H14" i="2"/>
  <c r="D14" i="2"/>
  <c r="L13" i="2"/>
  <c r="H13" i="2"/>
  <c r="D13" i="2"/>
  <c r="L12" i="2"/>
  <c r="H12" i="2"/>
  <c r="D12" i="2"/>
  <c r="L11" i="2"/>
  <c r="H11" i="2"/>
  <c r="D11" i="2"/>
  <c r="L10" i="2"/>
  <c r="H10" i="2"/>
  <c r="D10" i="2"/>
  <c r="L9" i="2"/>
  <c r="H9" i="2"/>
  <c r="D9" i="2"/>
  <c r="L8" i="2"/>
  <c r="H8" i="2"/>
  <c r="D8" i="2"/>
  <c r="L7" i="2"/>
  <c r="H7" i="2"/>
  <c r="D7" i="2"/>
  <c r="L6" i="2"/>
  <c r="H6" i="2"/>
  <c r="D6" i="2"/>
  <c r="CB54" i="1" l="1"/>
  <c r="BR54" i="1"/>
  <c r="BH54" i="1"/>
  <c r="AX54" i="1"/>
  <c r="G6" i="1"/>
  <c r="L54" i="1"/>
  <c r="M33" i="1" s="1"/>
  <c r="X54" i="1"/>
  <c r="Y6" i="1" s="1"/>
  <c r="AN54" i="1"/>
  <c r="AD54" i="1"/>
  <c r="R54" i="1"/>
  <c r="Y37" i="1" s="1"/>
  <c r="E22" i="2"/>
  <c r="M11" i="2"/>
  <c r="E17" i="2"/>
  <c r="I22" i="2"/>
  <c r="I30" i="2"/>
  <c r="E33" i="2"/>
  <c r="E14" i="2"/>
  <c r="M24" i="2"/>
  <c r="I35" i="2"/>
  <c r="I9" i="2"/>
  <c r="E12" i="2"/>
  <c r="I17" i="2"/>
  <c r="M22" i="2"/>
  <c r="I25" i="2"/>
  <c r="M30" i="2"/>
  <c r="I33" i="2"/>
  <c r="E6" i="2"/>
  <c r="M9" i="2"/>
  <c r="E15" i="2"/>
  <c r="I20" i="2"/>
  <c r="E23" i="2"/>
  <c r="M25" i="2"/>
  <c r="I28" i="2"/>
  <c r="M33" i="2"/>
  <c r="I36" i="2"/>
  <c r="E8" i="2"/>
  <c r="M16" i="2"/>
  <c r="M32" i="2"/>
  <c r="E7" i="2"/>
  <c r="I12" i="2"/>
  <c r="E10" i="2"/>
  <c r="M12" i="2"/>
  <c r="I15" i="2"/>
  <c r="E18" i="2"/>
  <c r="M20" i="2"/>
  <c r="I23" i="2"/>
  <c r="E26" i="2"/>
  <c r="I31" i="2"/>
  <c r="E34" i="2"/>
  <c r="M36" i="2"/>
  <c r="M10" i="2"/>
  <c r="M8" i="2"/>
  <c r="M7" i="2"/>
  <c r="I10" i="2"/>
  <c r="M15" i="2"/>
  <c r="I18" i="2"/>
  <c r="E21" i="2"/>
  <c r="M23" i="2"/>
  <c r="I26" i="2"/>
  <c r="E29" i="2"/>
  <c r="M31" i="2"/>
  <c r="E37" i="2"/>
  <c r="I13" i="2"/>
  <c r="E16" i="2"/>
  <c r="M18" i="2"/>
  <c r="I21" i="2"/>
  <c r="E24" i="2"/>
  <c r="M26" i="2"/>
  <c r="E32" i="2"/>
  <c r="M34" i="2"/>
  <c r="I37" i="2"/>
  <c r="I8" i="2"/>
  <c r="E11" i="2"/>
  <c r="M13" i="2"/>
  <c r="I16" i="2"/>
  <c r="M21" i="2"/>
  <c r="I24" i="2"/>
  <c r="E27" i="2"/>
  <c r="M29" i="2"/>
  <c r="I32" i="2"/>
  <c r="E35" i="2"/>
  <c r="M37" i="2"/>
  <c r="D57" i="2"/>
  <c r="I11" i="2" s="1"/>
  <c r="AO54" i="1" l="1"/>
  <c r="AO52" i="1"/>
  <c r="AY7" i="1"/>
  <c r="AY30" i="1"/>
  <c r="AY34" i="1"/>
  <c r="AY38" i="1"/>
  <c r="AY41" i="1"/>
  <c r="AY45" i="1"/>
  <c r="AY48" i="1"/>
  <c r="AY51" i="1"/>
  <c r="AY6" i="1"/>
  <c r="AY54" i="1"/>
  <c r="AY12" i="1"/>
  <c r="AY8" i="1"/>
  <c r="AY13" i="1"/>
  <c r="AY14" i="1"/>
  <c r="AY16" i="1"/>
  <c r="AY17" i="1"/>
  <c r="AY19" i="1"/>
  <c r="AY21" i="1"/>
  <c r="AY23" i="1"/>
  <c r="AY26" i="1"/>
  <c r="AY28" i="1"/>
  <c r="AY31" i="1"/>
  <c r="AY33" i="1"/>
  <c r="AY36" i="1"/>
  <c r="AY39" i="1"/>
  <c r="AY42" i="1"/>
  <c r="AY44" i="1"/>
  <c r="AY47" i="1"/>
  <c r="AY50" i="1"/>
  <c r="AY53" i="1"/>
  <c r="AY11" i="1"/>
  <c r="AY15" i="1"/>
  <c r="AY18" i="1"/>
  <c r="AY20" i="1"/>
  <c r="AY22" i="1"/>
  <c r="AY25" i="1"/>
  <c r="AY27" i="1"/>
  <c r="AY29" i="1"/>
  <c r="AY32" i="1"/>
  <c r="AY35" i="1"/>
  <c r="AY37" i="1"/>
  <c r="AY40" i="1"/>
  <c r="AY43" i="1"/>
  <c r="AY46" i="1"/>
  <c r="AY49" i="1"/>
  <c r="AY52" i="1"/>
  <c r="AY9" i="1"/>
  <c r="AY10" i="1"/>
  <c r="AY24" i="1"/>
  <c r="AE12" i="1"/>
  <c r="AE54" i="1"/>
  <c r="AO45" i="1"/>
  <c r="AO22" i="1"/>
  <c r="Y46" i="1"/>
  <c r="M39" i="1"/>
  <c r="Y17" i="1"/>
  <c r="Y52" i="1"/>
  <c r="M20" i="1"/>
  <c r="Y40" i="1"/>
  <c r="AO44" i="1"/>
  <c r="AO16" i="1"/>
  <c r="Y28" i="1"/>
  <c r="M11" i="1"/>
  <c r="Y9" i="1"/>
  <c r="Y33" i="1"/>
  <c r="M46" i="1"/>
  <c r="Y34" i="1"/>
  <c r="Y15" i="1"/>
  <c r="Y32" i="1"/>
  <c r="M53" i="1"/>
  <c r="M41" i="1"/>
  <c r="M19" i="1"/>
  <c r="S6" i="1"/>
  <c r="M14" i="1"/>
  <c r="Y27" i="1"/>
  <c r="Y51" i="1"/>
  <c r="G13" i="1"/>
  <c r="Y11" i="1"/>
  <c r="Y26" i="1"/>
  <c r="Y41" i="1"/>
  <c r="M50" i="1"/>
  <c r="Y16" i="1"/>
  <c r="Y12" i="1"/>
  <c r="Y36" i="1"/>
  <c r="AO6" i="1"/>
  <c r="M35" i="1"/>
  <c r="AO31" i="1"/>
  <c r="M16" i="1"/>
  <c r="AE17" i="1"/>
  <c r="AE25" i="1"/>
  <c r="AO53" i="1"/>
  <c r="M40" i="1"/>
  <c r="AO7" i="1"/>
  <c r="AE21" i="1"/>
  <c r="AO39" i="1"/>
  <c r="AO24" i="1"/>
  <c r="AE39" i="1"/>
  <c r="M22" i="1"/>
  <c r="AO27" i="1"/>
  <c r="AO10" i="1"/>
  <c r="AE24" i="1"/>
  <c r="M24" i="1"/>
  <c r="M43" i="1"/>
  <c r="AE33" i="1"/>
  <c r="M12" i="1"/>
  <c r="M49" i="1"/>
  <c r="AE13" i="1"/>
  <c r="Y24" i="1"/>
  <c r="AO43" i="1"/>
  <c r="AO14" i="1"/>
  <c r="AE29" i="1"/>
  <c r="Y49" i="1"/>
  <c r="Y53" i="1"/>
  <c r="AO47" i="1"/>
  <c r="Y18" i="1"/>
  <c r="M48" i="1"/>
  <c r="AO32" i="1"/>
  <c r="AE47" i="1"/>
  <c r="M38" i="1"/>
  <c r="AE11" i="1"/>
  <c r="AO17" i="1"/>
  <c r="AE32" i="1"/>
  <c r="Y44" i="1"/>
  <c r="M32" i="1"/>
  <c r="AO11" i="1"/>
  <c r="AE41" i="1"/>
  <c r="M28" i="1"/>
  <c r="AO12" i="1"/>
  <c r="AE14" i="1"/>
  <c r="AE20" i="1"/>
  <c r="AE37" i="1"/>
  <c r="AE7" i="1"/>
  <c r="AO51" i="1"/>
  <c r="AO25" i="1"/>
  <c r="AE49" i="1"/>
  <c r="AE45" i="1"/>
  <c r="AE15" i="1"/>
  <c r="M45" i="1"/>
  <c r="M7" i="1"/>
  <c r="M29" i="1"/>
  <c r="M10" i="1"/>
  <c r="M9" i="1"/>
  <c r="Y48" i="1"/>
  <c r="AE51" i="1"/>
  <c r="AE53" i="1"/>
  <c r="M52" i="1"/>
  <c r="AO8" i="1"/>
  <c r="AE22" i="1"/>
  <c r="Y42" i="1"/>
  <c r="AE8" i="1"/>
  <c r="Y35" i="1"/>
  <c r="M15" i="1"/>
  <c r="AO36" i="1"/>
  <c r="AO41" i="1"/>
  <c r="Y19" i="1"/>
  <c r="M26" i="1"/>
  <c r="AO34" i="1"/>
  <c r="Y29" i="1"/>
  <c r="M17" i="1"/>
  <c r="AO28" i="1"/>
  <c r="AE10" i="1"/>
  <c r="AE18" i="1"/>
  <c r="AE26" i="1"/>
  <c r="AE34" i="1"/>
  <c r="AE42" i="1"/>
  <c r="AE50" i="1"/>
  <c r="AE46" i="1"/>
  <c r="AE31" i="1"/>
  <c r="AO40" i="1"/>
  <c r="AO35" i="1"/>
  <c r="AO18" i="1"/>
  <c r="AE19" i="1"/>
  <c r="AE28" i="1"/>
  <c r="AO30" i="1"/>
  <c r="M36" i="1"/>
  <c r="AO48" i="1"/>
  <c r="AE48" i="1"/>
  <c r="AO26" i="1"/>
  <c r="Y21" i="1"/>
  <c r="M13" i="1"/>
  <c r="AO21" i="1"/>
  <c r="AE36" i="1"/>
  <c r="AO38" i="1"/>
  <c r="AO29" i="1"/>
  <c r="AE44" i="1"/>
  <c r="M18" i="1"/>
  <c r="Y39" i="1"/>
  <c r="AO46" i="1"/>
  <c r="Y10" i="1"/>
  <c r="M47" i="1"/>
  <c r="AO15" i="1"/>
  <c r="AE30" i="1"/>
  <c r="M21" i="1"/>
  <c r="M51" i="1"/>
  <c r="AE16" i="1"/>
  <c r="Y43" i="1"/>
  <c r="M23" i="1"/>
  <c r="AE27" i="1"/>
  <c r="AO49" i="1"/>
  <c r="Y13" i="1"/>
  <c r="M42" i="1"/>
  <c r="AE43" i="1"/>
  <c r="AO42" i="1"/>
  <c r="M25" i="1"/>
  <c r="AE35" i="1"/>
  <c r="AE40" i="1"/>
  <c r="M44" i="1"/>
  <c r="AO13" i="1"/>
  <c r="AO20" i="1"/>
  <c r="M27" i="1"/>
  <c r="AO33" i="1"/>
  <c r="Y14" i="1"/>
  <c r="Y22" i="1"/>
  <c r="Y30" i="1"/>
  <c r="Y38" i="1"/>
  <c r="Y8" i="1"/>
  <c r="AO37" i="1"/>
  <c r="AE52" i="1"/>
  <c r="M34" i="1"/>
  <c r="M30" i="1"/>
  <c r="AE6" i="1"/>
  <c r="Y25" i="1"/>
  <c r="AO19" i="1"/>
  <c r="AO23" i="1"/>
  <c r="AE38" i="1"/>
  <c r="M37" i="1"/>
  <c r="AO9" i="1"/>
  <c r="AE23" i="1"/>
  <c r="Y50" i="1"/>
  <c r="M31" i="1"/>
  <c r="Y23" i="1"/>
  <c r="AE9" i="1"/>
  <c r="Y20" i="1"/>
  <c r="M8" i="1"/>
  <c r="Y47" i="1"/>
  <c r="AO50" i="1"/>
  <c r="Y45" i="1"/>
  <c r="Y31" i="1"/>
  <c r="S8" i="1"/>
  <c r="S16" i="1"/>
  <c r="S32" i="1"/>
  <c r="S9" i="1"/>
  <c r="S17" i="1"/>
  <c r="S25" i="1"/>
  <c r="S33" i="1"/>
  <c r="S41" i="1"/>
  <c r="S49" i="1"/>
  <c r="S11" i="1"/>
  <c r="S27" i="1"/>
  <c r="S43" i="1"/>
  <c r="S40" i="1"/>
  <c r="S10" i="1"/>
  <c r="S18" i="1"/>
  <c r="S26" i="1"/>
  <c r="S34" i="1"/>
  <c r="S42" i="1"/>
  <c r="S50" i="1"/>
  <c r="S35" i="1"/>
  <c r="S51" i="1"/>
  <c r="S48" i="1"/>
  <c r="S12" i="1"/>
  <c r="S20" i="1"/>
  <c r="S28" i="1"/>
  <c r="S36" i="1"/>
  <c r="S44" i="1"/>
  <c r="S52" i="1"/>
  <c r="S13" i="1"/>
  <c r="S21" i="1"/>
  <c r="S29" i="1"/>
  <c r="S37" i="1"/>
  <c r="S45" i="1"/>
  <c r="S53" i="1"/>
  <c r="S14" i="1"/>
  <c r="S22" i="1"/>
  <c r="S30" i="1"/>
  <c r="S38" i="1"/>
  <c r="S46" i="1"/>
  <c r="S7" i="1"/>
  <c r="S15" i="1"/>
  <c r="S23" i="1"/>
  <c r="S31" i="1"/>
  <c r="S39" i="1"/>
  <c r="S47" i="1"/>
  <c r="S24" i="1"/>
  <c r="S19" i="1"/>
  <c r="Y7" i="1"/>
  <c r="Y54" i="1" s="1"/>
  <c r="G41" i="1"/>
  <c r="G9" i="1"/>
  <c r="G40" i="1"/>
  <c r="G10" i="1"/>
  <c r="G39" i="1"/>
  <c r="G7" i="1"/>
  <c r="G33" i="1"/>
  <c r="G18" i="1"/>
  <c r="G35" i="1"/>
  <c r="G42" i="1"/>
  <c r="G48" i="1"/>
  <c r="G15" i="1"/>
  <c r="G31" i="1"/>
  <c r="G25" i="1"/>
  <c r="G53" i="1"/>
  <c r="G8" i="1"/>
  <c r="G44" i="1"/>
  <c r="G19" i="1"/>
  <c r="G43" i="1"/>
  <c r="G24" i="1"/>
  <c r="G47" i="1"/>
  <c r="G11" i="1"/>
  <c r="G30" i="1"/>
  <c r="G52" i="1"/>
  <c r="G38" i="1"/>
  <c r="G12" i="1"/>
  <c r="G21" i="1"/>
  <c r="G26" i="1"/>
  <c r="G16" i="1"/>
  <c r="G23" i="1"/>
  <c r="G37" i="1"/>
  <c r="G32" i="1"/>
  <c r="G22" i="1"/>
  <c r="G36" i="1"/>
  <c r="G45" i="1"/>
  <c r="G29" i="1"/>
  <c r="G20" i="1"/>
  <c r="G28" i="1"/>
  <c r="G49" i="1"/>
  <c r="G50" i="1"/>
  <c r="G51" i="1"/>
  <c r="G46" i="1"/>
  <c r="G27" i="1"/>
  <c r="G34" i="1"/>
  <c r="G14" i="1"/>
  <c r="G17" i="1"/>
  <c r="E36" i="2"/>
  <c r="M14" i="2"/>
  <c r="M35" i="2"/>
  <c r="I14" i="2"/>
  <c r="E9" i="2"/>
  <c r="E57" i="2" s="1"/>
  <c r="M17" i="2"/>
  <c r="E28" i="2"/>
  <c r="M6" i="2"/>
  <c r="M27" i="2"/>
  <c r="I6" i="2"/>
  <c r="E25" i="2"/>
  <c r="E30" i="2"/>
  <c r="E19" i="2"/>
  <c r="I29" i="2"/>
  <c r="I34" i="2"/>
  <c r="E13" i="2"/>
  <c r="M28" i="2"/>
  <c r="I7" i="2"/>
  <c r="E31" i="2"/>
  <c r="I27" i="2"/>
  <c r="E20" i="2"/>
  <c r="I19" i="2"/>
  <c r="M19" i="2"/>
  <c r="S54" i="1" l="1"/>
</calcChain>
</file>

<file path=xl/sharedStrings.xml><?xml version="1.0" encoding="utf-8"?>
<sst xmlns="http://schemas.openxmlformats.org/spreadsheetml/2006/main" count="200" uniqueCount="87">
  <si>
    <t>Quote</t>
  </si>
  <si>
    <t>Inverse</t>
  </si>
  <si>
    <t>SUM</t>
  </si>
  <si>
    <t>Deutschland</t>
  </si>
  <si>
    <t>Spanien</t>
  </si>
  <si>
    <t>England</t>
  </si>
  <si>
    <t>Wahrscheinlichkeit</t>
  </si>
  <si>
    <t>Mannschaft</t>
  </si>
  <si>
    <t>Brasilien</t>
  </si>
  <si>
    <t>Frankreich</t>
  </si>
  <si>
    <t>Argentinien</t>
  </si>
  <si>
    <t>Niederlande</t>
  </si>
  <si>
    <t>Portugal</t>
  </si>
  <si>
    <t>Belgien</t>
  </si>
  <si>
    <t>Dänemark</t>
  </si>
  <si>
    <t>Uruguay</t>
  </si>
  <si>
    <t>Kroatien</t>
  </si>
  <si>
    <t>Serbien</t>
  </si>
  <si>
    <t>Senegal</t>
  </si>
  <si>
    <t>Schweiz</t>
  </si>
  <si>
    <t>USA</t>
  </si>
  <si>
    <t>Mexiko</t>
  </si>
  <si>
    <t>Polen</t>
  </si>
  <si>
    <t>Wales</t>
  </si>
  <si>
    <t>Kanada</t>
  </si>
  <si>
    <t>Marokko</t>
  </si>
  <si>
    <t>Ecuador</t>
  </si>
  <si>
    <t>Japan</t>
  </si>
  <si>
    <t>Kamerun</t>
  </si>
  <si>
    <t>Katar</t>
  </si>
  <si>
    <t>Südkorea</t>
  </si>
  <si>
    <t>Australien</t>
  </si>
  <si>
    <t>Ghana</t>
  </si>
  <si>
    <t>Iran</t>
  </si>
  <si>
    <t>Tunesien</t>
  </si>
  <si>
    <t>Costa Rica</t>
  </si>
  <si>
    <t>Saudi Arabien</t>
  </si>
  <si>
    <t>Berechnung Wer wird Weltmeister?</t>
  </si>
  <si>
    <t>24.03.2026 (vor Playoff Halbfinale)</t>
  </si>
  <si>
    <t>28.03.2026 (nach Playoff Halbfinale)</t>
  </si>
  <si>
    <t>https://www.flashscore.com/football/world/world-cup/odds/</t>
  </si>
  <si>
    <t>betbrain.com</t>
  </si>
  <si>
    <t>Auf Basis bet365 lt. flahscore</t>
  </si>
  <si>
    <t>Auf Basis betbrain (10 Anbieter)</t>
  </si>
  <si>
    <t>bet365</t>
  </si>
  <si>
    <t>bwin</t>
  </si>
  <si>
    <t>IW</t>
  </si>
  <si>
    <t xml:space="preserve">Deutschland </t>
  </si>
  <si>
    <t>Norwegen</t>
  </si>
  <si>
    <t>Kolumbien</t>
  </si>
  <si>
    <t>Österreich</t>
  </si>
  <si>
    <t>Paraguay</t>
  </si>
  <si>
    <t>Türkei</t>
  </si>
  <si>
    <t>Schottland</t>
  </si>
  <si>
    <t>Schweden</t>
  </si>
  <si>
    <t>Ägypten</t>
  </si>
  <si>
    <t>Elfenbeinküste</t>
  </si>
  <si>
    <t>Algerien</t>
  </si>
  <si>
    <t>Tschechien</t>
  </si>
  <si>
    <t>DR Kongo</t>
  </si>
  <si>
    <t>Südafrika</t>
  </si>
  <si>
    <t>Oddspedia</t>
  </si>
  <si>
    <t>Irak</t>
  </si>
  <si>
    <t>Bosnien Herzegowina</t>
  </si>
  <si>
    <t>Neuseeland</t>
  </si>
  <si>
    <t>Panama</t>
  </si>
  <si>
    <t>Usbekistan</t>
  </si>
  <si>
    <t>Kap Verde</t>
  </si>
  <si>
    <t>Curacao</t>
  </si>
  <si>
    <t>Jordanien</t>
  </si>
  <si>
    <t>Haiti</t>
  </si>
  <si>
    <t>vor Playoff Finale</t>
  </si>
  <si>
    <t>nach Playoff Finale</t>
  </si>
  <si>
    <t>bet366</t>
  </si>
  <si>
    <t>bet367</t>
  </si>
  <si>
    <t>bet368</t>
  </si>
  <si>
    <t>oddspedia</t>
  </si>
  <si>
    <t>Unibet</t>
  </si>
  <si>
    <t>betway</t>
  </si>
  <si>
    <t>Ladbrokes</t>
  </si>
  <si>
    <t>Betfair</t>
  </si>
  <si>
    <t>oddschecker</t>
  </si>
  <si>
    <t>bet369</t>
  </si>
  <si>
    <t>bet370</t>
  </si>
  <si>
    <t>bet371</t>
  </si>
  <si>
    <t>wettbasis</t>
  </si>
  <si>
    <t>bet372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</si>
</sst>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1" fillId="0" borderId="1" xfId="0" applyFont="1" applyBorder="1"/>
    <xf numFmtId="0" fontId="1" fillId="0" borderId="2" xfId="0" applyFont="1" applyBorder="1"/>
    <xf numFmtId="2" fontId="1" fillId="0" borderId="2" xfId="0" applyNumberFormat="1" applyFont="1" applyBorder="1"/>
    <xf numFmtId="164" fontId="1" fillId="0" borderId="3" xfId="0" applyNumberFormat="1" applyFont="1" applyBorder="1"/>
    <xf numFmtId="164" fontId="1" fillId="0" borderId="0" xfId="0" applyNumberFormat="1" applyFont="1"/>
    <xf numFmtId="164" fontId="1" fillId="0" borderId="5" xfId="0" applyNumberFormat="1" applyFont="1" applyBorder="1"/>
    <xf numFmtId="164" fontId="1" fillId="0" borderId="8" xfId="0" applyNumberFormat="1" applyFont="1" applyBorder="1"/>
    <xf numFmtId="0" fontId="1" fillId="0" borderId="0" xfId="0" applyFont="1"/>
    <xf numFmtId="0" fontId="2" fillId="0" borderId="0" xfId="0" applyFont="1"/>
    <xf numFmtId="0" fontId="3" fillId="0" borderId="2" xfId="0" applyFont="1" applyBorder="1"/>
    <xf numFmtId="2" fontId="3" fillId="0" borderId="2" xfId="0" applyNumberFormat="1" applyFont="1" applyBorder="1"/>
    <xf numFmtId="164" fontId="3" fillId="0" borderId="3" xfId="0" applyNumberFormat="1" applyFont="1" applyBorder="1"/>
    <xf numFmtId="0" fontId="2" fillId="0" borderId="2" xfId="0" applyFont="1" applyBorder="1"/>
    <xf numFmtId="2" fontId="2" fillId="0" borderId="2" xfId="0" applyNumberFormat="1" applyFont="1" applyBorder="1"/>
    <xf numFmtId="2" fontId="2" fillId="0" borderId="0" xfId="0" applyNumberFormat="1" applyFont="1"/>
    <xf numFmtId="164" fontId="3" fillId="0" borderId="5" xfId="0" applyNumberFormat="1" applyFont="1" applyBorder="1"/>
    <xf numFmtId="0" fontId="2" fillId="0" borderId="7" xfId="0" applyFont="1" applyBorder="1"/>
    <xf numFmtId="2" fontId="2" fillId="0" borderId="7" xfId="0" applyNumberFormat="1" applyFont="1" applyBorder="1"/>
    <xf numFmtId="164" fontId="3" fillId="0" borderId="8" xfId="0" applyNumberFormat="1" applyFont="1" applyBorder="1"/>
    <xf numFmtId="14" fontId="1" fillId="0" borderId="0" xfId="0" applyNumberFormat="1" applyFont="1"/>
    <xf numFmtId="0" fontId="1" fillId="0" borderId="9" xfId="0" applyFont="1" applyBorder="1"/>
    <xf numFmtId="2" fontId="1" fillId="0" borderId="9" xfId="0" applyNumberFormat="1" applyFont="1" applyBorder="1"/>
    <xf numFmtId="164" fontId="1" fillId="0" borderId="10" xfId="0" applyNumberFormat="1" applyFont="1" applyBorder="1"/>
    <xf numFmtId="14" fontId="0" fillId="0" borderId="0" xfId="0" applyNumberFormat="1"/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64" fontId="6" fillId="0" borderId="5" xfId="0" applyNumberFormat="1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Standard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A4EF-F895-4567-AEE1-4C1871F71671}">
  <dimension ref="A3:CC56"/>
  <sheetViews>
    <sheetView tabSelected="1" zoomScale="91" zoomScaleNormal="91" workbookViewId="0">
      <pane xSplit="1" topLeftCell="C1" activePane="topRight" state="frozen"/>
      <selection pane="topRight" activeCell="A9" sqref="A9:XFD9"/>
    </sheetView>
  </sheetViews>
  <sheetFormatPr baseColWidth="10" defaultRowHeight="14.4" x14ac:dyDescent="0.3"/>
  <cols>
    <col min="1" max="4" width="16.77734375" customWidth="1"/>
    <col min="5" max="5" width="11.44140625" customWidth="1"/>
    <col min="6" max="6" width="11.44140625" style="1" customWidth="1"/>
    <col min="7" max="7" width="18.21875" style="13" bestFit="1" customWidth="1"/>
    <col min="11" max="12" width="10.88671875" style="17"/>
    <col min="13" max="13" width="19.21875" style="17" customWidth="1"/>
    <col min="14" max="15" width="10.88671875" style="17"/>
    <col min="19" max="19" width="19" customWidth="1"/>
    <col min="25" max="25" width="16.44140625" customWidth="1"/>
    <col min="31" max="31" width="16.88671875" customWidth="1"/>
    <col min="41" max="41" width="17.77734375" customWidth="1"/>
    <col min="45" max="45" width="12.44140625" customWidth="1"/>
    <col min="51" max="51" width="19.109375" customWidth="1"/>
    <col min="61" max="61" width="18.21875" customWidth="1"/>
    <col min="71" max="71" width="21.21875" customWidth="1"/>
  </cols>
  <sheetData>
    <row r="3" spans="1:81" x14ac:dyDescent="0.3">
      <c r="H3" s="37" t="s">
        <v>76</v>
      </c>
      <c r="I3" s="37"/>
      <c r="J3" s="37"/>
      <c r="N3" s="38" t="s">
        <v>76</v>
      </c>
      <c r="O3" s="39"/>
      <c r="P3" s="39"/>
      <c r="T3" s="37" t="s">
        <v>76</v>
      </c>
      <c r="U3" s="37"/>
      <c r="V3" s="37"/>
      <c r="Z3" s="37" t="s">
        <v>76</v>
      </c>
      <c r="AA3" s="37"/>
      <c r="AB3" s="37"/>
      <c r="AF3" s="37" t="s">
        <v>76</v>
      </c>
      <c r="AG3" s="37"/>
      <c r="AH3" s="37"/>
      <c r="AI3" s="37" t="s">
        <v>81</v>
      </c>
      <c r="AJ3" s="37"/>
      <c r="AK3" s="37"/>
      <c r="AL3" s="37"/>
      <c r="AP3" s="37" t="s">
        <v>76</v>
      </c>
      <c r="AQ3" s="37"/>
      <c r="AR3" s="37"/>
      <c r="AS3" s="37" t="s">
        <v>81</v>
      </c>
      <c r="AT3" s="37"/>
      <c r="AU3" s="37"/>
      <c r="AV3" s="37"/>
      <c r="AZ3" s="37" t="s">
        <v>76</v>
      </c>
      <c r="BA3" s="37"/>
      <c r="BB3" s="37"/>
      <c r="BC3" s="37" t="s">
        <v>81</v>
      </c>
      <c r="BD3" s="37"/>
      <c r="BE3" s="37"/>
      <c r="BF3" s="37"/>
      <c r="BJ3" s="37" t="s">
        <v>76</v>
      </c>
      <c r="BK3" s="37"/>
      <c r="BL3" t="s">
        <v>85</v>
      </c>
      <c r="BM3" s="37" t="s">
        <v>81</v>
      </c>
      <c r="BN3" s="37"/>
      <c r="BO3" s="37"/>
      <c r="BP3" s="37"/>
      <c r="BT3" s="37" t="s">
        <v>76</v>
      </c>
      <c r="BU3" s="37"/>
      <c r="BV3" t="s">
        <v>85</v>
      </c>
      <c r="BW3" s="37" t="s">
        <v>81</v>
      </c>
      <c r="BX3" s="37"/>
      <c r="BY3" s="37"/>
      <c r="BZ3" s="37"/>
    </row>
    <row r="4" spans="1:81" ht="15" thickBot="1" x14ac:dyDescent="0.35">
      <c r="A4" s="16" t="s">
        <v>37</v>
      </c>
      <c r="B4" s="16"/>
      <c r="C4" s="28">
        <v>46106</v>
      </c>
      <c r="D4" s="16" t="s">
        <v>61</v>
      </c>
      <c r="G4" s="13" t="s">
        <v>71</v>
      </c>
      <c r="H4" s="32">
        <v>46113</v>
      </c>
      <c r="I4" s="32"/>
      <c r="J4" s="32"/>
      <c r="M4" s="33" t="s">
        <v>72</v>
      </c>
      <c r="N4" s="32">
        <v>46120</v>
      </c>
      <c r="O4"/>
      <c r="T4" s="32">
        <v>46127</v>
      </c>
      <c r="Z4" s="32">
        <v>46134</v>
      </c>
      <c r="AF4" s="32">
        <v>46141</v>
      </c>
      <c r="AP4" s="32">
        <v>46148</v>
      </c>
      <c r="AZ4" s="32">
        <v>46155</v>
      </c>
      <c r="BJ4" s="32">
        <v>46162</v>
      </c>
      <c r="BT4" s="32">
        <v>46169</v>
      </c>
    </row>
    <row r="5" spans="1:81" ht="15" thickBot="1" x14ac:dyDescent="0.35">
      <c r="A5" s="9" t="s">
        <v>7</v>
      </c>
      <c r="B5" s="10" t="s">
        <v>44</v>
      </c>
      <c r="C5" s="10" t="s">
        <v>45</v>
      </c>
      <c r="D5" s="10" t="s">
        <v>46</v>
      </c>
      <c r="E5" s="29" t="s">
        <v>0</v>
      </c>
      <c r="F5" s="30" t="s">
        <v>1</v>
      </c>
      <c r="G5" s="31" t="s">
        <v>6</v>
      </c>
      <c r="H5" s="10" t="s">
        <v>44</v>
      </c>
      <c r="I5" s="29" t="s">
        <v>45</v>
      </c>
      <c r="J5" s="10" t="s">
        <v>46</v>
      </c>
      <c r="K5" s="29" t="s">
        <v>0</v>
      </c>
      <c r="L5" s="30" t="s">
        <v>1</v>
      </c>
      <c r="M5" s="31" t="s">
        <v>6</v>
      </c>
      <c r="N5" s="10" t="s">
        <v>44</v>
      </c>
      <c r="O5" s="10" t="s">
        <v>45</v>
      </c>
      <c r="P5" s="10" t="s">
        <v>46</v>
      </c>
      <c r="Q5" s="29" t="s">
        <v>0</v>
      </c>
      <c r="R5" s="30" t="s">
        <v>1</v>
      </c>
      <c r="S5" s="31" t="s">
        <v>6</v>
      </c>
      <c r="T5" s="10" t="s">
        <v>73</v>
      </c>
      <c r="U5" s="10" t="s">
        <v>45</v>
      </c>
      <c r="V5" s="10" t="s">
        <v>46</v>
      </c>
      <c r="W5" s="29" t="s">
        <v>0</v>
      </c>
      <c r="X5" s="30" t="s">
        <v>1</v>
      </c>
      <c r="Y5" s="31" t="s">
        <v>6</v>
      </c>
      <c r="Z5" s="10" t="s">
        <v>74</v>
      </c>
      <c r="AA5" s="10" t="s">
        <v>45</v>
      </c>
      <c r="AB5" s="10" t="s">
        <v>46</v>
      </c>
      <c r="AC5" s="29" t="s">
        <v>0</v>
      </c>
      <c r="AD5" s="30" t="s">
        <v>1</v>
      </c>
      <c r="AE5" s="31" t="s">
        <v>6</v>
      </c>
      <c r="AF5" s="10" t="s">
        <v>75</v>
      </c>
      <c r="AG5" s="10" t="s">
        <v>45</v>
      </c>
      <c r="AH5" s="10" t="s">
        <v>46</v>
      </c>
      <c r="AI5" s="29" t="s">
        <v>77</v>
      </c>
      <c r="AJ5" s="29" t="s">
        <v>79</v>
      </c>
      <c r="AK5" s="29" t="s">
        <v>78</v>
      </c>
      <c r="AL5" s="29" t="s">
        <v>80</v>
      </c>
      <c r="AM5" s="29" t="s">
        <v>0</v>
      </c>
      <c r="AN5" s="30" t="s">
        <v>1</v>
      </c>
      <c r="AO5" s="31" t="s">
        <v>6</v>
      </c>
      <c r="AP5" s="10" t="s">
        <v>82</v>
      </c>
      <c r="AQ5" s="10" t="s">
        <v>45</v>
      </c>
      <c r="AR5" s="10" t="s">
        <v>46</v>
      </c>
      <c r="AS5" s="29" t="s">
        <v>77</v>
      </c>
      <c r="AT5" s="29" t="s">
        <v>79</v>
      </c>
      <c r="AU5" s="29" t="s">
        <v>78</v>
      </c>
      <c r="AV5" s="29" t="s">
        <v>80</v>
      </c>
      <c r="AW5" s="29" t="s">
        <v>0</v>
      </c>
      <c r="AX5" s="30" t="s">
        <v>1</v>
      </c>
      <c r="AY5" s="31" t="s">
        <v>6</v>
      </c>
      <c r="AZ5" s="10" t="s">
        <v>83</v>
      </c>
      <c r="BA5" s="10" t="s">
        <v>45</v>
      </c>
      <c r="BB5" s="10" t="s">
        <v>46</v>
      </c>
      <c r="BC5" s="29" t="s">
        <v>77</v>
      </c>
      <c r="BD5" s="29" t="s">
        <v>79</v>
      </c>
      <c r="BE5" s="29" t="s">
        <v>78</v>
      </c>
      <c r="BF5" s="29" t="s">
        <v>80</v>
      </c>
      <c r="BG5" s="29" t="s">
        <v>0</v>
      </c>
      <c r="BH5" s="30" t="s">
        <v>1</v>
      </c>
      <c r="BI5" s="31" t="s">
        <v>6</v>
      </c>
      <c r="BJ5" s="10" t="s">
        <v>84</v>
      </c>
      <c r="BK5" s="10" t="s">
        <v>45</v>
      </c>
      <c r="BL5" s="10" t="s">
        <v>46</v>
      </c>
      <c r="BM5" s="29" t="s">
        <v>77</v>
      </c>
      <c r="BN5" s="29" t="s">
        <v>79</v>
      </c>
      <c r="BO5" s="29" t="s">
        <v>78</v>
      </c>
      <c r="BP5" s="29" t="s">
        <v>80</v>
      </c>
      <c r="BQ5" s="29" t="s">
        <v>0</v>
      </c>
      <c r="BR5" s="30" t="s">
        <v>1</v>
      </c>
      <c r="BS5" s="31" t="s">
        <v>6</v>
      </c>
      <c r="BT5" s="10" t="s">
        <v>86</v>
      </c>
      <c r="BU5" s="10" t="s">
        <v>45</v>
      </c>
      <c r="BV5" s="10" t="s">
        <v>46</v>
      </c>
      <c r="BW5" s="29" t="s">
        <v>77</v>
      </c>
      <c r="BX5" s="29" t="s">
        <v>79</v>
      </c>
      <c r="BY5" s="29" t="s">
        <v>78</v>
      </c>
      <c r="BZ5" s="29" t="s">
        <v>80</v>
      </c>
      <c r="CA5" s="29" t="s">
        <v>0</v>
      </c>
      <c r="CB5" s="30" t="s">
        <v>1</v>
      </c>
      <c r="CC5" s="31" t="s">
        <v>6</v>
      </c>
    </row>
    <row r="6" spans="1:81" x14ac:dyDescent="0.3">
      <c r="A6" s="2" t="s">
        <v>4</v>
      </c>
      <c r="B6" s="3">
        <v>5.5</v>
      </c>
      <c r="C6" s="3">
        <v>5</v>
      </c>
      <c r="D6" s="3">
        <v>5.5</v>
      </c>
      <c r="E6">
        <f>ROUND(AVERAGE(B6:D6),2)</f>
        <v>5.33</v>
      </c>
      <c r="F6" s="1">
        <f>IF(E6="","",1/E6)</f>
        <v>0.18761726078799248</v>
      </c>
      <c r="G6" s="14">
        <f t="shared" ref="G6:G53" si="0">IF(F6="","",F6/$F$54)</f>
        <v>0.16194911151722161</v>
      </c>
      <c r="H6" s="3">
        <v>5.5</v>
      </c>
      <c r="I6">
        <v>5.5</v>
      </c>
      <c r="J6" s="3">
        <v>5.5</v>
      </c>
      <c r="K6">
        <f>ROUND(AVERAGE(H6:J6),2)</f>
        <v>5.5</v>
      </c>
      <c r="L6" s="1">
        <f>IF(K6="","",1/K6)</f>
        <v>0.18181818181818182</v>
      </c>
      <c r="M6" s="14">
        <f>IF(L6="","",L6/$L$54)</f>
        <v>0.15415503472932268</v>
      </c>
      <c r="N6" s="3">
        <v>5.5</v>
      </c>
      <c r="O6" s="3">
        <v>5.5</v>
      </c>
      <c r="P6" s="3">
        <v>5.5</v>
      </c>
      <c r="Q6">
        <f>ROUND(AVERAGE(N6:P6),2)</f>
        <v>5.5</v>
      </c>
      <c r="R6" s="1">
        <f>IF(Q6="","",1/Q6)</f>
        <v>0.18181818181818182</v>
      </c>
      <c r="S6" s="14">
        <f>IF(R6="","",R6/$R$54)</f>
        <v>0.15160356187110302</v>
      </c>
      <c r="T6" s="3">
        <v>5.5</v>
      </c>
      <c r="U6" s="3">
        <v>5.5</v>
      </c>
      <c r="V6" s="3">
        <v>5.5</v>
      </c>
      <c r="W6">
        <f>ROUND(AVERAGE(T6:V6),2)</f>
        <v>5.5</v>
      </c>
      <c r="X6" s="1">
        <f>IF(W6="","",1/W6)</f>
        <v>0.18181818181818182</v>
      </c>
      <c r="Y6" s="14">
        <f>IF(X6="","",X6/$X$54)</f>
        <v>0.15167270493278578</v>
      </c>
      <c r="Z6" s="3">
        <v>5.5</v>
      </c>
      <c r="AA6" s="3">
        <v>5.5</v>
      </c>
      <c r="AB6" s="3">
        <v>5.75</v>
      </c>
      <c r="AC6">
        <f>ROUND(AVERAGE(Z6:AB6),2)</f>
        <v>5.58</v>
      </c>
      <c r="AD6" s="1">
        <f>IF(AC6="","",1/AC6)</f>
        <v>0.17921146953405018</v>
      </c>
      <c r="AE6" s="14">
        <f>IF(AD6="","",AD6/$AD$54)</f>
        <v>0.14931437286053267</v>
      </c>
      <c r="AF6" s="3">
        <v>5.5</v>
      </c>
      <c r="AG6" s="3">
        <v>6</v>
      </c>
      <c r="AH6" s="3">
        <v>5.5</v>
      </c>
      <c r="AI6">
        <v>5.5</v>
      </c>
      <c r="AJ6">
        <v>6</v>
      </c>
      <c r="AK6">
        <v>5.5</v>
      </c>
      <c r="AL6">
        <v>5.9</v>
      </c>
      <c r="AM6">
        <f>ROUND(AVERAGE(AF6:AL6),2)</f>
        <v>5.7</v>
      </c>
      <c r="AN6" s="1">
        <f>IF(AM6="","",1/AM6)</f>
        <v>0.17543859649122806</v>
      </c>
      <c r="AO6" s="14">
        <f>IF(AN6="","",AN6/$AN$54)</f>
        <v>0.14746960801219511</v>
      </c>
      <c r="AP6" s="3">
        <v>5.5</v>
      </c>
      <c r="AQ6" s="3">
        <v>6</v>
      </c>
      <c r="AR6" s="3">
        <v>5.75</v>
      </c>
      <c r="AS6">
        <v>5.75</v>
      </c>
      <c r="AT6">
        <v>6</v>
      </c>
      <c r="AU6">
        <v>5.5</v>
      </c>
      <c r="AV6">
        <v>5.9</v>
      </c>
      <c r="AW6">
        <f>ROUND(AVERAGE(AP6:AV6),2)</f>
        <v>5.77</v>
      </c>
      <c r="AX6" s="1">
        <f>IF(AW6="","",1/AW6)</f>
        <v>0.1733102253032929</v>
      </c>
      <c r="AY6" s="14">
        <f>IF(AX6="","",AX6/$AX$54)</f>
        <v>0.14543882505313305</v>
      </c>
      <c r="AZ6" s="3">
        <v>5.5</v>
      </c>
      <c r="BA6" s="3">
        <v>6</v>
      </c>
      <c r="BB6" s="3">
        <v>5.75</v>
      </c>
      <c r="BC6">
        <v>5.75</v>
      </c>
      <c r="BD6">
        <v>6</v>
      </c>
      <c r="BE6">
        <v>5.5</v>
      </c>
      <c r="BF6">
        <v>5.9</v>
      </c>
      <c r="BG6">
        <f>ROUND(AVERAGE(AZ6:BF6),2)</f>
        <v>5.77</v>
      </c>
      <c r="BH6" s="1">
        <f>IF(BG6="","",1/BG6)</f>
        <v>0.1733102253032929</v>
      </c>
      <c r="BI6" s="14">
        <f>IF(BH6="","",BH6/$BH$54)</f>
        <v>0.14541069141577637</v>
      </c>
      <c r="BJ6" s="3">
        <v>5.5</v>
      </c>
      <c r="BK6" s="3">
        <v>5.5</v>
      </c>
      <c r="BL6" s="3">
        <v>5.75</v>
      </c>
      <c r="BM6">
        <v>5.5</v>
      </c>
      <c r="BN6">
        <v>5.5</v>
      </c>
      <c r="BO6">
        <v>5.5</v>
      </c>
      <c r="BP6">
        <v>5.9</v>
      </c>
      <c r="BQ6">
        <f>ROUND(AVERAGE(BJ6:BP6),2)</f>
        <v>5.59</v>
      </c>
      <c r="BR6" s="1">
        <f>IF(BQ6="","",1/BQ6)</f>
        <v>0.17889087656529518</v>
      </c>
      <c r="BS6" s="14">
        <f>IF(BR6="","",BR6/$BR$54)</f>
        <v>0.14933025073803294</v>
      </c>
      <c r="BT6" s="3">
        <v>5.5</v>
      </c>
      <c r="BU6" s="3">
        <v>5.5</v>
      </c>
      <c r="BV6" s="3">
        <v>5.75</v>
      </c>
      <c r="BW6">
        <v>5.5</v>
      </c>
      <c r="BX6">
        <v>5.5</v>
      </c>
      <c r="BY6">
        <v>6</v>
      </c>
      <c r="BZ6">
        <v>5.8</v>
      </c>
      <c r="CA6">
        <f>ROUND(AVERAGE(BT6:BZ6),2)</f>
        <v>5.65</v>
      </c>
      <c r="CB6" s="1">
        <f>IF(CA6="","",1/CA6)</f>
        <v>0.17699115044247787</v>
      </c>
      <c r="CC6" s="14">
        <f>IF(CB6="","",CB6/$CB$54)</f>
        <v>0.14842146086057095</v>
      </c>
    </row>
    <row r="7" spans="1:81" x14ac:dyDescent="0.3">
      <c r="A7" s="5" t="s">
        <v>5</v>
      </c>
      <c r="B7">
        <v>6.5</v>
      </c>
      <c r="C7">
        <v>6.5</v>
      </c>
      <c r="D7">
        <v>6.75</v>
      </c>
      <c r="E7">
        <f t="shared" ref="E7:E53" si="1">ROUND(AVERAGE(B7:D7),2)</f>
        <v>6.58</v>
      </c>
      <c r="F7" s="1">
        <f t="shared" ref="F7:F53" si="2">IF(E7="","",1/E7)</f>
        <v>0.1519756838905775</v>
      </c>
      <c r="G7" s="14">
        <f t="shared" si="0"/>
        <v>0.13118370279434516</v>
      </c>
      <c r="H7">
        <v>6.5</v>
      </c>
      <c r="I7">
        <v>7</v>
      </c>
      <c r="J7">
        <v>6.75</v>
      </c>
      <c r="K7">
        <f t="shared" ref="K7:K53" si="3">ROUND(AVERAGE(H7:J7),2)</f>
        <v>6.75</v>
      </c>
      <c r="L7" s="1">
        <f t="shared" ref="L7:L53" si="4">IF(K7="","",1/K7)</f>
        <v>0.14814814814814814</v>
      </c>
      <c r="M7" s="14">
        <f t="shared" ref="M7:M53" si="5">IF(L7="","",L7/$L$54)</f>
        <v>0.1256078060757444</v>
      </c>
      <c r="N7">
        <v>7</v>
      </c>
      <c r="O7">
        <v>7.5</v>
      </c>
      <c r="P7">
        <v>7.25</v>
      </c>
      <c r="Q7">
        <f t="shared" ref="Q7:Q53" si="6">ROUND(AVERAGE(N7:P7),2)</f>
        <v>7.25</v>
      </c>
      <c r="R7" s="1">
        <f t="shared" ref="R7:R53" si="7">IF(Q7="","",1/Q7)</f>
        <v>0.13793103448275862</v>
      </c>
      <c r="S7" s="14">
        <f t="shared" ref="S7:S53" si="8">IF(R7="","",R7/$R$54)</f>
        <v>0.11500959866083678</v>
      </c>
      <c r="T7">
        <v>7</v>
      </c>
      <c r="U7">
        <v>7.5</v>
      </c>
      <c r="V7">
        <v>7.25</v>
      </c>
      <c r="W7">
        <f t="shared" ref="W7:W53" si="9">ROUND(AVERAGE(T7:V7),2)</f>
        <v>7.25</v>
      </c>
      <c r="X7" s="1">
        <f t="shared" ref="X7:X53" si="10">IF(W7="","",1/W7)</f>
        <v>0.13793103448275862</v>
      </c>
      <c r="Y7" s="14">
        <f t="shared" ref="Y7:Y53" si="11">IF(X7="","",X7/$R$54)</f>
        <v>0.11500959866083678</v>
      </c>
      <c r="Z7">
        <v>7</v>
      </c>
      <c r="AA7">
        <v>7.5</v>
      </c>
      <c r="AB7">
        <v>7.25</v>
      </c>
      <c r="AC7">
        <f t="shared" ref="AC7:AC53" si="12">ROUND(AVERAGE(Z7:AB7),2)</f>
        <v>7.25</v>
      </c>
      <c r="AD7" s="1">
        <f t="shared" ref="AD7:AD18" si="13">IF(AC7="","",1/AC7)</f>
        <v>0.13793103448275862</v>
      </c>
      <c r="AE7" s="14">
        <f t="shared" ref="AE7:AE53" si="14">IF(AD7="","",AD7/$AD$54)</f>
        <v>0.11492057938783068</v>
      </c>
      <c r="AF7">
        <v>7</v>
      </c>
      <c r="AG7">
        <v>7.5</v>
      </c>
      <c r="AH7">
        <v>7.25</v>
      </c>
      <c r="AI7">
        <v>7</v>
      </c>
      <c r="AJ7">
        <v>7.5</v>
      </c>
      <c r="AK7">
        <v>7.5</v>
      </c>
      <c r="AL7">
        <v>8.64</v>
      </c>
      <c r="AM7">
        <f t="shared" ref="AM7:AM53" si="15">ROUND(AVERAGE(AF7:AL7),2)</f>
        <v>7.48</v>
      </c>
      <c r="AN7" s="1">
        <f t="shared" ref="AN7:AN18" si="16">IF(AM7="","",1/AM7)</f>
        <v>0.13368983957219249</v>
      </c>
      <c r="AO7" s="14">
        <f t="shared" ref="AO7:AO53" si="17">IF(AN7="","",AN7/$AN$54)</f>
        <v>0.11237657295046953</v>
      </c>
      <c r="AP7">
        <v>7</v>
      </c>
      <c r="AQ7">
        <v>7.5</v>
      </c>
      <c r="AR7">
        <v>7.25</v>
      </c>
      <c r="AS7">
        <v>7</v>
      </c>
      <c r="AT7">
        <v>7.5</v>
      </c>
      <c r="AU7">
        <v>7.5</v>
      </c>
      <c r="AV7">
        <v>8.64</v>
      </c>
      <c r="AW7">
        <f t="shared" ref="AW7:AW53" si="18">ROUND(AVERAGE(AP7:AV7),2)</f>
        <v>7.48</v>
      </c>
      <c r="AX7" s="1">
        <f t="shared" ref="AX7:AX18" si="19">IF(AW7="","",1/AW7)</f>
        <v>0.13368983957219249</v>
      </c>
      <c r="AY7" s="14">
        <f>IF(AX7="","",AX7/$AX$54)</f>
        <v>0.1121901097000772</v>
      </c>
      <c r="AZ7">
        <v>7</v>
      </c>
      <c r="BA7">
        <v>7.5</v>
      </c>
      <c r="BB7">
        <v>7.25</v>
      </c>
      <c r="BC7">
        <v>7</v>
      </c>
      <c r="BD7">
        <v>7.5</v>
      </c>
      <c r="BE7">
        <v>7.5</v>
      </c>
      <c r="BF7">
        <v>8.06</v>
      </c>
      <c r="BG7">
        <f t="shared" ref="BG7:BG53" si="20">ROUND(AVERAGE(AZ7:BF7),2)</f>
        <v>7.4</v>
      </c>
      <c r="BH7" s="1">
        <f t="shared" ref="BH7:BH18" si="21">IF(BG7="","",1/BG7)</f>
        <v>0.13513513513513511</v>
      </c>
      <c r="BI7" s="14">
        <f t="shared" ref="BI7:BI53" si="22">IF(BH7="","",BH7/$BH$54)</f>
        <v>0.11338103911743641</v>
      </c>
      <c r="BJ7">
        <v>7</v>
      </c>
      <c r="BK7">
        <v>7.5</v>
      </c>
      <c r="BL7">
        <v>7.25</v>
      </c>
      <c r="BM7">
        <v>7</v>
      </c>
      <c r="BN7">
        <v>7.5</v>
      </c>
      <c r="BO7">
        <v>7.5</v>
      </c>
      <c r="BP7">
        <v>8.06</v>
      </c>
      <c r="BQ7">
        <f t="shared" ref="BQ7:BQ53" si="23">ROUND(AVERAGE(BJ7:BP7),2)</f>
        <v>7.4</v>
      </c>
      <c r="BR7" s="1">
        <f t="shared" ref="BR7:BR18" si="24">IF(BQ7="","",1/BQ7)</f>
        <v>0.13513513513513511</v>
      </c>
      <c r="BS7" s="14">
        <f t="shared" ref="BS7:BS53" si="25">IF(BR7="","",BR7/$BR$54)</f>
        <v>0.11280487859805459</v>
      </c>
      <c r="BT7">
        <v>7</v>
      </c>
      <c r="BU7">
        <v>7.5</v>
      </c>
      <c r="BV7">
        <v>7.25</v>
      </c>
      <c r="BW7">
        <v>7</v>
      </c>
      <c r="BX7">
        <v>7.5</v>
      </c>
      <c r="BY7">
        <v>7.5</v>
      </c>
      <c r="BZ7">
        <v>8.06</v>
      </c>
      <c r="CA7">
        <f t="shared" ref="CA7:CA53" si="26">ROUND(AVERAGE(BT7:BZ7),2)</f>
        <v>7.4</v>
      </c>
      <c r="CB7" s="1">
        <f t="shared" ref="CB7:CB18" si="27">IF(CA7="","",1/CA7)</f>
        <v>0.13513513513513511</v>
      </c>
      <c r="CC7" s="14">
        <f t="shared" ref="CC7:CC53" si="28">IF(CB7="","",CB7/$CB$54)</f>
        <v>0.11332179106246293</v>
      </c>
    </row>
    <row r="8" spans="1:81" x14ac:dyDescent="0.3">
      <c r="A8" s="5" t="s">
        <v>8</v>
      </c>
      <c r="B8">
        <v>9</v>
      </c>
      <c r="C8">
        <v>9</v>
      </c>
      <c r="D8">
        <v>9</v>
      </c>
      <c r="E8">
        <f t="shared" si="1"/>
        <v>9</v>
      </c>
      <c r="F8" s="1">
        <f t="shared" si="2"/>
        <v>0.1111111111111111</v>
      </c>
      <c r="G8" s="14">
        <f t="shared" si="0"/>
        <v>9.5909862709643454E-2</v>
      </c>
      <c r="H8">
        <v>9</v>
      </c>
      <c r="I8">
        <v>9</v>
      </c>
      <c r="J8">
        <v>9.5</v>
      </c>
      <c r="K8">
        <f t="shared" si="3"/>
        <v>9.17</v>
      </c>
      <c r="L8" s="1">
        <f t="shared" si="4"/>
        <v>0.10905125408942203</v>
      </c>
      <c r="M8" s="14">
        <f t="shared" si="5"/>
        <v>9.2459399237870749E-2</v>
      </c>
      <c r="N8">
        <v>9</v>
      </c>
      <c r="O8">
        <v>9</v>
      </c>
      <c r="P8">
        <v>9.5</v>
      </c>
      <c r="Q8">
        <f t="shared" si="6"/>
        <v>9.17</v>
      </c>
      <c r="R8" s="1">
        <f t="shared" si="7"/>
        <v>0.10905125408942203</v>
      </c>
      <c r="S8" s="14">
        <f t="shared" si="8"/>
        <v>9.0929072005568878E-2</v>
      </c>
      <c r="T8">
        <v>9</v>
      </c>
      <c r="U8">
        <v>9</v>
      </c>
      <c r="V8">
        <v>9.5</v>
      </c>
      <c r="W8">
        <f t="shared" si="9"/>
        <v>9.17</v>
      </c>
      <c r="X8" s="1">
        <f t="shared" si="10"/>
        <v>0.10905125408942203</v>
      </c>
      <c r="Y8" s="14">
        <f t="shared" si="11"/>
        <v>9.0929072005568878E-2</v>
      </c>
      <c r="Z8">
        <v>9</v>
      </c>
      <c r="AA8">
        <v>9</v>
      </c>
      <c r="AB8">
        <v>9.5</v>
      </c>
      <c r="AC8">
        <f t="shared" si="12"/>
        <v>9.17</v>
      </c>
      <c r="AD8" s="1">
        <f t="shared" si="13"/>
        <v>0.10905125408942203</v>
      </c>
      <c r="AE8" s="14">
        <f t="shared" si="14"/>
        <v>9.0858691446212905E-2</v>
      </c>
      <c r="AF8">
        <v>9</v>
      </c>
      <c r="AG8">
        <v>9</v>
      </c>
      <c r="AH8">
        <v>9</v>
      </c>
      <c r="AI8">
        <v>9</v>
      </c>
      <c r="AJ8">
        <v>9</v>
      </c>
      <c r="AK8">
        <v>10</v>
      </c>
      <c r="AL8">
        <v>9.82</v>
      </c>
      <c r="AM8">
        <f t="shared" si="15"/>
        <v>9.26</v>
      </c>
      <c r="AN8" s="1">
        <f t="shared" si="16"/>
        <v>0.10799136069114471</v>
      </c>
      <c r="AO8" s="14">
        <f t="shared" si="17"/>
        <v>9.0775028690012111E-2</v>
      </c>
      <c r="AP8">
        <v>9</v>
      </c>
      <c r="AQ8">
        <v>9</v>
      </c>
      <c r="AR8">
        <v>9.5</v>
      </c>
      <c r="AS8">
        <v>9</v>
      </c>
      <c r="AT8">
        <v>9</v>
      </c>
      <c r="AU8">
        <v>10</v>
      </c>
      <c r="AV8">
        <v>9.82</v>
      </c>
      <c r="AW8">
        <f t="shared" si="18"/>
        <v>9.33</v>
      </c>
      <c r="AX8" s="1">
        <f t="shared" si="19"/>
        <v>0.10718113612004287</v>
      </c>
      <c r="AY8" s="14">
        <f t="shared" ref="AY8:AY53" si="29">IF(AX8="","",AX8/$AX$54)</f>
        <v>8.9944482374767168E-2</v>
      </c>
      <c r="AZ8">
        <v>9</v>
      </c>
      <c r="BA8">
        <v>9</v>
      </c>
      <c r="BB8">
        <v>9.5</v>
      </c>
      <c r="BC8">
        <v>9</v>
      </c>
      <c r="BD8">
        <v>9</v>
      </c>
      <c r="BE8">
        <v>10</v>
      </c>
      <c r="BF8">
        <v>9.82</v>
      </c>
      <c r="BG8">
        <f t="shared" si="20"/>
        <v>9.33</v>
      </c>
      <c r="BH8" s="1">
        <f t="shared" si="21"/>
        <v>0.10718113612004287</v>
      </c>
      <c r="BI8" s="14">
        <f t="shared" si="22"/>
        <v>8.992708354437616E-2</v>
      </c>
      <c r="BJ8">
        <v>9</v>
      </c>
      <c r="BK8">
        <v>9</v>
      </c>
      <c r="BL8">
        <v>9.5</v>
      </c>
      <c r="BM8">
        <v>9</v>
      </c>
      <c r="BN8">
        <v>9</v>
      </c>
      <c r="BO8">
        <v>10</v>
      </c>
      <c r="BP8">
        <v>9.82</v>
      </c>
      <c r="BQ8">
        <f t="shared" si="23"/>
        <v>9.33</v>
      </c>
      <c r="BR8" s="1">
        <f t="shared" si="24"/>
        <v>0.10718113612004287</v>
      </c>
      <c r="BS8" s="14">
        <f t="shared" si="25"/>
        <v>8.9470107355370213E-2</v>
      </c>
      <c r="BT8">
        <v>9</v>
      </c>
      <c r="BU8">
        <v>9</v>
      </c>
      <c r="BV8">
        <v>9.5</v>
      </c>
      <c r="BW8">
        <v>9</v>
      </c>
      <c r="BX8">
        <v>9</v>
      </c>
      <c r="BY8">
        <v>10</v>
      </c>
      <c r="BZ8">
        <v>10.3</v>
      </c>
      <c r="CA8">
        <f t="shared" si="26"/>
        <v>9.4</v>
      </c>
      <c r="CB8" s="1">
        <f t="shared" si="27"/>
        <v>0.10638297872340426</v>
      </c>
      <c r="CC8" s="14">
        <f t="shared" si="28"/>
        <v>8.9210771687470838E-2</v>
      </c>
    </row>
    <row r="9" spans="1:81" x14ac:dyDescent="0.3">
      <c r="A9" s="5" t="s">
        <v>9</v>
      </c>
      <c r="B9">
        <v>9</v>
      </c>
      <c r="C9">
        <v>8</v>
      </c>
      <c r="D9">
        <v>9</v>
      </c>
      <c r="E9">
        <f t="shared" si="1"/>
        <v>8.67</v>
      </c>
      <c r="F9" s="1">
        <f t="shared" si="2"/>
        <v>0.11534025374855825</v>
      </c>
      <c r="G9" s="14">
        <f t="shared" si="0"/>
        <v>9.9560411117276953E-2</v>
      </c>
      <c r="H9">
        <v>7</v>
      </c>
      <c r="I9">
        <v>7.5</v>
      </c>
      <c r="J9">
        <v>7.5</v>
      </c>
      <c r="K9">
        <f t="shared" si="3"/>
        <v>7.33</v>
      </c>
      <c r="L9" s="1">
        <f t="shared" si="4"/>
        <v>0.13642564802182811</v>
      </c>
      <c r="M9" s="14">
        <f t="shared" si="5"/>
        <v>0.11566885279826396</v>
      </c>
      <c r="N9">
        <v>6.5</v>
      </c>
      <c r="O9">
        <v>6.5</v>
      </c>
      <c r="P9">
        <v>6.75</v>
      </c>
      <c r="Q9">
        <f t="shared" si="6"/>
        <v>6.58</v>
      </c>
      <c r="R9" s="1">
        <f t="shared" si="7"/>
        <v>0.1519756838905775</v>
      </c>
      <c r="S9" s="14">
        <f t="shared" si="8"/>
        <v>0.12672030247584598</v>
      </c>
      <c r="T9">
        <v>6.5</v>
      </c>
      <c r="U9">
        <v>6.5</v>
      </c>
      <c r="V9">
        <v>6.75</v>
      </c>
      <c r="W9">
        <f t="shared" si="9"/>
        <v>6.58</v>
      </c>
      <c r="X9" s="1">
        <f t="shared" si="10"/>
        <v>0.1519756838905775</v>
      </c>
      <c r="Y9" s="14">
        <f t="shared" si="11"/>
        <v>0.12672030247584598</v>
      </c>
      <c r="Z9">
        <v>6.5</v>
      </c>
      <c r="AA9">
        <v>6.5</v>
      </c>
      <c r="AB9">
        <v>6.75</v>
      </c>
      <c r="AC9">
        <f t="shared" si="12"/>
        <v>6.58</v>
      </c>
      <c r="AD9" s="1">
        <f t="shared" si="13"/>
        <v>0.1519756838905775</v>
      </c>
      <c r="AE9" s="14">
        <f t="shared" si="14"/>
        <v>0.12662221893036055</v>
      </c>
      <c r="AF9">
        <v>6.5</v>
      </c>
      <c r="AG9">
        <v>5.5</v>
      </c>
      <c r="AH9">
        <v>6.5</v>
      </c>
      <c r="AI9">
        <v>6.5</v>
      </c>
      <c r="AJ9">
        <v>5.5</v>
      </c>
      <c r="AK9">
        <v>6.5</v>
      </c>
      <c r="AL9">
        <v>6.49</v>
      </c>
      <c r="AM9">
        <f t="shared" si="15"/>
        <v>6.21</v>
      </c>
      <c r="AN9" s="1">
        <f t="shared" si="16"/>
        <v>0.1610305958132045</v>
      </c>
      <c r="AO9" s="14">
        <f t="shared" si="17"/>
        <v>0.13535857740249793</v>
      </c>
      <c r="AP9">
        <v>6</v>
      </c>
      <c r="AQ9">
        <v>5.5</v>
      </c>
      <c r="AR9">
        <v>6</v>
      </c>
      <c r="AS9">
        <v>6</v>
      </c>
      <c r="AT9">
        <v>5.5</v>
      </c>
      <c r="AU9">
        <v>6.5</v>
      </c>
      <c r="AV9">
        <v>6.49</v>
      </c>
      <c r="AW9">
        <f t="shared" si="18"/>
        <v>6</v>
      </c>
      <c r="AX9" s="1">
        <f t="shared" si="19"/>
        <v>0.16666666666666666</v>
      </c>
      <c r="AY9" s="14">
        <f t="shared" si="29"/>
        <v>0.13986367009276293</v>
      </c>
      <c r="AZ9">
        <v>6</v>
      </c>
      <c r="BA9">
        <v>5.5</v>
      </c>
      <c r="BB9">
        <v>6</v>
      </c>
      <c r="BC9">
        <v>6</v>
      </c>
      <c r="BD9">
        <v>5.5</v>
      </c>
      <c r="BE9">
        <v>6.5</v>
      </c>
      <c r="BF9">
        <v>6.1</v>
      </c>
      <c r="BG9">
        <f t="shared" si="20"/>
        <v>5.94</v>
      </c>
      <c r="BH9" s="1">
        <f t="shared" si="21"/>
        <v>0.16835016835016833</v>
      </c>
      <c r="BI9" s="14">
        <f t="shared" si="22"/>
        <v>0.14124910597121709</v>
      </c>
      <c r="BJ9">
        <v>6</v>
      </c>
      <c r="BK9">
        <v>5.5</v>
      </c>
      <c r="BL9">
        <v>6</v>
      </c>
      <c r="BM9">
        <v>6</v>
      </c>
      <c r="BN9">
        <v>5.5</v>
      </c>
      <c r="BO9">
        <v>6.5</v>
      </c>
      <c r="BP9">
        <v>5.9</v>
      </c>
      <c r="BQ9">
        <f t="shared" si="23"/>
        <v>5.91</v>
      </c>
      <c r="BR9" s="1">
        <f t="shared" si="24"/>
        <v>0.16920473773265651</v>
      </c>
      <c r="BS9" s="14">
        <f t="shared" si="25"/>
        <v>0.1412446872462951</v>
      </c>
      <c r="BT9">
        <v>6</v>
      </c>
      <c r="BU9">
        <v>5.5</v>
      </c>
      <c r="BV9">
        <v>6</v>
      </c>
      <c r="BW9">
        <v>6</v>
      </c>
      <c r="BX9">
        <v>5.5</v>
      </c>
      <c r="BY9">
        <v>5.5</v>
      </c>
      <c r="BZ9">
        <v>6.1</v>
      </c>
      <c r="CA9">
        <f t="shared" si="26"/>
        <v>5.8</v>
      </c>
      <c r="CB9" s="1">
        <f t="shared" si="27"/>
        <v>0.17241379310344829</v>
      </c>
      <c r="CC9" s="14">
        <f t="shared" si="28"/>
        <v>0.14458297480383206</v>
      </c>
    </row>
    <row r="10" spans="1:81" x14ac:dyDescent="0.3">
      <c r="A10" s="5" t="s">
        <v>10</v>
      </c>
      <c r="B10">
        <v>9</v>
      </c>
      <c r="C10">
        <v>9</v>
      </c>
      <c r="D10">
        <v>9.5</v>
      </c>
      <c r="E10">
        <f t="shared" si="1"/>
        <v>9.17</v>
      </c>
      <c r="F10" s="1">
        <f t="shared" si="2"/>
        <v>0.10905125408942203</v>
      </c>
      <c r="G10" s="14">
        <f t="shared" si="0"/>
        <v>9.4131817272278206E-2</v>
      </c>
      <c r="H10">
        <v>9</v>
      </c>
      <c r="I10">
        <v>9</v>
      </c>
      <c r="J10">
        <v>9</v>
      </c>
      <c r="K10">
        <f t="shared" si="3"/>
        <v>9</v>
      </c>
      <c r="L10" s="1">
        <f t="shared" si="4"/>
        <v>0.1111111111111111</v>
      </c>
      <c r="M10" s="14">
        <f t="shared" si="5"/>
        <v>9.4205854556808299E-2</v>
      </c>
      <c r="N10">
        <v>9</v>
      </c>
      <c r="O10">
        <v>9</v>
      </c>
      <c r="P10">
        <v>9.5</v>
      </c>
      <c r="Q10">
        <f t="shared" si="6"/>
        <v>9.17</v>
      </c>
      <c r="R10" s="1">
        <f t="shared" si="7"/>
        <v>0.10905125408942203</v>
      </c>
      <c r="S10" s="14">
        <f t="shared" si="8"/>
        <v>9.0929072005568878E-2</v>
      </c>
      <c r="T10">
        <v>9</v>
      </c>
      <c r="U10">
        <v>9</v>
      </c>
      <c r="V10">
        <v>9.5</v>
      </c>
      <c r="W10">
        <f t="shared" si="9"/>
        <v>9.17</v>
      </c>
      <c r="X10" s="1">
        <f t="shared" si="10"/>
        <v>0.10905125408942203</v>
      </c>
      <c r="Y10" s="14">
        <f t="shared" si="11"/>
        <v>9.0929072005568878E-2</v>
      </c>
      <c r="Z10">
        <v>9</v>
      </c>
      <c r="AA10">
        <v>9</v>
      </c>
      <c r="AB10">
        <v>9.5</v>
      </c>
      <c r="AC10">
        <f t="shared" si="12"/>
        <v>9.17</v>
      </c>
      <c r="AD10" s="1">
        <f t="shared" si="13"/>
        <v>0.10905125408942203</v>
      </c>
      <c r="AE10" s="14">
        <f t="shared" si="14"/>
        <v>9.0858691446212905E-2</v>
      </c>
      <c r="AF10">
        <v>9</v>
      </c>
      <c r="AG10">
        <v>9</v>
      </c>
      <c r="AH10">
        <v>9.5</v>
      </c>
      <c r="AI10">
        <v>9</v>
      </c>
      <c r="AJ10">
        <v>9</v>
      </c>
      <c r="AK10">
        <v>9</v>
      </c>
      <c r="AL10">
        <v>10.8</v>
      </c>
      <c r="AM10">
        <f t="shared" si="15"/>
        <v>9.33</v>
      </c>
      <c r="AN10" s="1">
        <f t="shared" si="16"/>
        <v>0.10718113612004287</v>
      </c>
      <c r="AO10" s="14">
        <f t="shared" si="17"/>
        <v>9.0093972740569364E-2</v>
      </c>
      <c r="AP10">
        <v>9</v>
      </c>
      <c r="AQ10">
        <v>9</v>
      </c>
      <c r="AR10">
        <v>9.5</v>
      </c>
      <c r="AS10">
        <v>9</v>
      </c>
      <c r="AT10">
        <v>9</v>
      </c>
      <c r="AU10">
        <v>9</v>
      </c>
      <c r="AV10">
        <v>10.8</v>
      </c>
      <c r="AW10">
        <f t="shared" si="18"/>
        <v>9.33</v>
      </c>
      <c r="AX10" s="1">
        <f t="shared" si="19"/>
        <v>0.10718113612004287</v>
      </c>
      <c r="AY10" s="14">
        <f t="shared" si="29"/>
        <v>8.9944482374767168E-2</v>
      </c>
      <c r="AZ10">
        <v>9</v>
      </c>
      <c r="BA10">
        <v>9</v>
      </c>
      <c r="BB10">
        <v>9.5</v>
      </c>
      <c r="BC10">
        <v>9</v>
      </c>
      <c r="BD10">
        <v>9</v>
      </c>
      <c r="BE10">
        <v>9</v>
      </c>
      <c r="BF10">
        <v>10.8</v>
      </c>
      <c r="BG10">
        <f t="shared" si="20"/>
        <v>9.33</v>
      </c>
      <c r="BH10" s="1">
        <f t="shared" si="21"/>
        <v>0.10718113612004287</v>
      </c>
      <c r="BI10" s="14">
        <f t="shared" si="22"/>
        <v>8.992708354437616E-2</v>
      </c>
      <c r="BJ10">
        <v>9</v>
      </c>
      <c r="BK10">
        <v>9</v>
      </c>
      <c r="BL10">
        <v>9.5</v>
      </c>
      <c r="BM10">
        <v>9</v>
      </c>
      <c r="BN10">
        <v>9</v>
      </c>
      <c r="BO10">
        <v>9</v>
      </c>
      <c r="BP10">
        <v>10.8</v>
      </c>
      <c r="BQ10">
        <f t="shared" si="23"/>
        <v>9.33</v>
      </c>
      <c r="BR10" s="1">
        <f t="shared" si="24"/>
        <v>0.10718113612004287</v>
      </c>
      <c r="BS10" s="14">
        <f t="shared" si="25"/>
        <v>8.9470107355370213E-2</v>
      </c>
      <c r="BT10">
        <v>9</v>
      </c>
      <c r="BU10">
        <v>9</v>
      </c>
      <c r="BV10">
        <v>9.5</v>
      </c>
      <c r="BW10">
        <v>9.5</v>
      </c>
      <c r="BX10">
        <v>9</v>
      </c>
      <c r="BY10">
        <v>10</v>
      </c>
      <c r="BZ10">
        <v>10.3</v>
      </c>
      <c r="CA10">
        <f t="shared" si="26"/>
        <v>9.4700000000000006</v>
      </c>
      <c r="CB10" s="1">
        <f t="shared" si="27"/>
        <v>0.10559662090813093</v>
      </c>
      <c r="CC10" s="14">
        <f t="shared" si="28"/>
        <v>8.8551346764754568E-2</v>
      </c>
    </row>
    <row r="11" spans="1:81" x14ac:dyDescent="0.3">
      <c r="A11" s="5" t="s">
        <v>12</v>
      </c>
      <c r="B11">
        <v>12</v>
      </c>
      <c r="C11">
        <v>12</v>
      </c>
      <c r="D11">
        <v>12</v>
      </c>
      <c r="E11">
        <f t="shared" si="1"/>
        <v>12</v>
      </c>
      <c r="F11" s="1">
        <f t="shared" si="2"/>
        <v>8.3333333333333329E-2</v>
      </c>
      <c r="G11" s="14">
        <f t="shared" si="0"/>
        <v>7.1932397032232587E-2</v>
      </c>
      <c r="H11">
        <v>13</v>
      </c>
      <c r="I11">
        <v>11</v>
      </c>
      <c r="J11">
        <v>12</v>
      </c>
      <c r="K11">
        <f t="shared" si="3"/>
        <v>12</v>
      </c>
      <c r="L11" s="1">
        <f t="shared" si="4"/>
        <v>8.3333333333333329E-2</v>
      </c>
      <c r="M11" s="14">
        <f t="shared" si="5"/>
        <v>7.0654390917606225E-2</v>
      </c>
      <c r="N11">
        <v>13</v>
      </c>
      <c r="O11">
        <v>11</v>
      </c>
      <c r="P11">
        <v>13</v>
      </c>
      <c r="Q11">
        <f t="shared" si="6"/>
        <v>12.33</v>
      </c>
      <c r="R11" s="1">
        <f t="shared" si="7"/>
        <v>8.1103000811030002E-2</v>
      </c>
      <c r="S11" s="14">
        <f t="shared" si="8"/>
        <v>6.7625270907629084E-2</v>
      </c>
      <c r="T11">
        <v>13</v>
      </c>
      <c r="U11">
        <v>11</v>
      </c>
      <c r="V11">
        <v>13</v>
      </c>
      <c r="W11">
        <f t="shared" si="9"/>
        <v>12.33</v>
      </c>
      <c r="X11" s="1">
        <f t="shared" si="10"/>
        <v>8.1103000811030002E-2</v>
      </c>
      <c r="Y11" s="14">
        <f t="shared" si="11"/>
        <v>6.7625270907629084E-2</v>
      </c>
      <c r="Z11">
        <v>12</v>
      </c>
      <c r="AA11">
        <v>11</v>
      </c>
      <c r="AB11">
        <v>12</v>
      </c>
      <c r="AC11">
        <f t="shared" si="12"/>
        <v>11.67</v>
      </c>
      <c r="AD11" s="1">
        <f t="shared" si="13"/>
        <v>8.5689802913453295E-2</v>
      </c>
      <c r="AE11" s="14">
        <f t="shared" si="14"/>
        <v>7.139453303871228E-2</v>
      </c>
      <c r="AF11">
        <v>12</v>
      </c>
      <c r="AG11">
        <v>11</v>
      </c>
      <c r="AH11">
        <v>12</v>
      </c>
      <c r="AI11">
        <v>12</v>
      </c>
      <c r="AJ11">
        <v>11</v>
      </c>
      <c r="AK11">
        <v>11</v>
      </c>
      <c r="AL11">
        <v>13.3</v>
      </c>
      <c r="AM11">
        <f t="shared" si="15"/>
        <v>11.76</v>
      </c>
      <c r="AN11" s="1">
        <f t="shared" si="16"/>
        <v>8.5034013605442174E-2</v>
      </c>
      <c r="AO11" s="14">
        <f t="shared" si="17"/>
        <v>7.1477616128359872E-2</v>
      </c>
      <c r="AP11">
        <v>12</v>
      </c>
      <c r="AQ11">
        <v>11</v>
      </c>
      <c r="AR11">
        <v>12</v>
      </c>
      <c r="AS11">
        <v>12</v>
      </c>
      <c r="AT11">
        <v>11</v>
      </c>
      <c r="AU11">
        <v>11</v>
      </c>
      <c r="AV11">
        <v>13.3</v>
      </c>
      <c r="AW11">
        <f t="shared" si="18"/>
        <v>11.76</v>
      </c>
      <c r="AX11" s="1">
        <f t="shared" si="19"/>
        <v>8.5034013605442174E-2</v>
      </c>
      <c r="AY11" s="14">
        <f t="shared" si="29"/>
        <v>7.1359015353450475E-2</v>
      </c>
      <c r="AZ11">
        <v>12</v>
      </c>
      <c r="BA11">
        <v>11</v>
      </c>
      <c r="BB11">
        <v>12</v>
      </c>
      <c r="BC11">
        <v>12</v>
      </c>
      <c r="BD11">
        <v>11</v>
      </c>
      <c r="BE11">
        <v>11</v>
      </c>
      <c r="BF11">
        <v>13.3</v>
      </c>
      <c r="BG11">
        <f t="shared" si="20"/>
        <v>11.76</v>
      </c>
      <c r="BH11" s="1">
        <f t="shared" si="21"/>
        <v>8.5034013605442174E-2</v>
      </c>
      <c r="BI11" s="14">
        <f t="shared" si="22"/>
        <v>7.1345211689543331E-2</v>
      </c>
      <c r="BJ11">
        <v>12</v>
      </c>
      <c r="BK11">
        <v>11</v>
      </c>
      <c r="BL11">
        <v>12</v>
      </c>
      <c r="BM11">
        <v>12</v>
      </c>
      <c r="BN11">
        <v>11</v>
      </c>
      <c r="BO11">
        <v>11</v>
      </c>
      <c r="BP11">
        <v>12.3</v>
      </c>
      <c r="BQ11">
        <f t="shared" si="23"/>
        <v>11.61</v>
      </c>
      <c r="BR11" s="1">
        <f t="shared" si="24"/>
        <v>8.6132644272179162E-2</v>
      </c>
      <c r="BS11" s="14">
        <f t="shared" si="25"/>
        <v>7.1899750355349193E-2</v>
      </c>
      <c r="BT11">
        <v>11</v>
      </c>
      <c r="BU11">
        <v>11</v>
      </c>
      <c r="BV11">
        <v>12</v>
      </c>
      <c r="BW11">
        <v>11</v>
      </c>
      <c r="BX11">
        <v>11</v>
      </c>
      <c r="BY11">
        <v>11</v>
      </c>
      <c r="BZ11">
        <v>11.8</v>
      </c>
      <c r="CA11">
        <f t="shared" si="26"/>
        <v>11.26</v>
      </c>
      <c r="CB11" s="1">
        <f t="shared" si="27"/>
        <v>8.8809946714031973E-2</v>
      </c>
      <c r="CC11" s="14">
        <f t="shared" si="28"/>
        <v>7.4474356470890402E-2</v>
      </c>
    </row>
    <row r="12" spans="1:81" x14ac:dyDescent="0.3">
      <c r="A12" s="5" t="s">
        <v>47</v>
      </c>
      <c r="B12">
        <v>13</v>
      </c>
      <c r="C12">
        <v>13</v>
      </c>
      <c r="D12">
        <v>14</v>
      </c>
      <c r="E12">
        <f t="shared" si="1"/>
        <v>13.33</v>
      </c>
      <c r="F12" s="1">
        <f t="shared" si="2"/>
        <v>7.5018754688672168E-2</v>
      </c>
      <c r="G12" s="14">
        <f t="shared" si="0"/>
        <v>6.4755346165550717E-2</v>
      </c>
      <c r="H12">
        <v>13</v>
      </c>
      <c r="I12">
        <v>15</v>
      </c>
      <c r="J12">
        <v>14</v>
      </c>
      <c r="K12">
        <f t="shared" si="3"/>
        <v>14</v>
      </c>
      <c r="L12" s="1">
        <f t="shared" si="4"/>
        <v>7.1428571428571425E-2</v>
      </c>
      <c r="M12" s="14">
        <f t="shared" si="5"/>
        <v>6.0560906500805339E-2</v>
      </c>
      <c r="N12">
        <v>13</v>
      </c>
      <c r="O12">
        <v>15</v>
      </c>
      <c r="P12">
        <v>14</v>
      </c>
      <c r="Q12">
        <f t="shared" si="6"/>
        <v>14</v>
      </c>
      <c r="R12" s="1">
        <f t="shared" si="7"/>
        <v>7.1428571428571425E-2</v>
      </c>
      <c r="S12" s="14">
        <f t="shared" si="8"/>
        <v>5.9558542163647615E-2</v>
      </c>
      <c r="T12">
        <v>13</v>
      </c>
      <c r="U12">
        <v>15</v>
      </c>
      <c r="V12">
        <v>14</v>
      </c>
      <c r="W12">
        <f t="shared" si="9"/>
        <v>14</v>
      </c>
      <c r="X12" s="1">
        <f t="shared" si="10"/>
        <v>7.1428571428571425E-2</v>
      </c>
      <c r="Y12" s="14">
        <f t="shared" si="11"/>
        <v>5.9558542163647615E-2</v>
      </c>
      <c r="Z12">
        <v>13</v>
      </c>
      <c r="AA12">
        <v>15</v>
      </c>
      <c r="AB12">
        <v>14</v>
      </c>
      <c r="AC12">
        <f t="shared" si="12"/>
        <v>14</v>
      </c>
      <c r="AD12" s="1">
        <f t="shared" si="13"/>
        <v>7.1428571428571425E-2</v>
      </c>
      <c r="AE12" s="14">
        <f t="shared" si="14"/>
        <v>5.9512442897269452E-2</v>
      </c>
      <c r="AF12">
        <v>13</v>
      </c>
      <c r="AG12">
        <v>15</v>
      </c>
      <c r="AH12">
        <v>14</v>
      </c>
      <c r="AI12">
        <v>13</v>
      </c>
      <c r="AJ12">
        <v>15</v>
      </c>
      <c r="AK12">
        <v>13</v>
      </c>
      <c r="AL12">
        <v>17.7</v>
      </c>
      <c r="AM12">
        <f t="shared" si="15"/>
        <v>14.39</v>
      </c>
      <c r="AN12" s="1">
        <f t="shared" si="16"/>
        <v>6.9492703266157058E-2</v>
      </c>
      <c r="AO12" s="14">
        <f t="shared" si="17"/>
        <v>5.8413951749097449E-2</v>
      </c>
      <c r="AP12">
        <v>13</v>
      </c>
      <c r="AQ12">
        <v>15</v>
      </c>
      <c r="AR12">
        <v>14</v>
      </c>
      <c r="AS12">
        <v>14</v>
      </c>
      <c r="AT12">
        <v>15</v>
      </c>
      <c r="AU12">
        <v>13</v>
      </c>
      <c r="AV12">
        <v>17.7</v>
      </c>
      <c r="AW12">
        <f t="shared" si="18"/>
        <v>14.53</v>
      </c>
      <c r="AX12" s="1">
        <f t="shared" si="19"/>
        <v>6.8823124569855468E-2</v>
      </c>
      <c r="AY12" s="14">
        <f t="shared" si="29"/>
        <v>5.7755128737548352E-2</v>
      </c>
      <c r="AZ12">
        <v>13</v>
      </c>
      <c r="BA12">
        <v>15</v>
      </c>
      <c r="BB12">
        <v>14</v>
      </c>
      <c r="BC12">
        <v>14</v>
      </c>
      <c r="BD12">
        <v>15</v>
      </c>
      <c r="BE12">
        <v>13</v>
      </c>
      <c r="BF12">
        <v>17.7</v>
      </c>
      <c r="BG12">
        <f t="shared" si="20"/>
        <v>14.53</v>
      </c>
      <c r="BH12" s="1">
        <f t="shared" si="21"/>
        <v>6.8823124569855468E-2</v>
      </c>
      <c r="BI12" s="14">
        <f t="shared" si="22"/>
        <v>5.7743956604888472E-2</v>
      </c>
      <c r="BJ12">
        <v>13</v>
      </c>
      <c r="BK12">
        <v>15</v>
      </c>
      <c r="BL12">
        <v>14</v>
      </c>
      <c r="BM12">
        <v>14</v>
      </c>
      <c r="BN12">
        <v>15</v>
      </c>
      <c r="BO12">
        <v>13</v>
      </c>
      <c r="BP12">
        <v>17.2</v>
      </c>
      <c r="BQ12">
        <f t="shared" si="23"/>
        <v>14.46</v>
      </c>
      <c r="BR12" s="1">
        <f t="shared" si="24"/>
        <v>6.9156293222683254E-2</v>
      </c>
      <c r="BS12" s="14">
        <f t="shared" si="25"/>
        <v>5.7728637733444256E-2</v>
      </c>
      <c r="BT12">
        <v>15</v>
      </c>
      <c r="BU12">
        <v>15</v>
      </c>
      <c r="BV12">
        <v>16</v>
      </c>
      <c r="BW12">
        <v>15</v>
      </c>
      <c r="BX12">
        <v>15</v>
      </c>
      <c r="BY12">
        <v>17</v>
      </c>
      <c r="BZ12">
        <v>17.2</v>
      </c>
      <c r="CA12">
        <f t="shared" si="26"/>
        <v>15.74</v>
      </c>
      <c r="CB12" s="1">
        <f t="shared" si="27"/>
        <v>6.353240152477764E-2</v>
      </c>
      <c r="CC12" s="14">
        <f t="shared" si="28"/>
        <v>5.3277080931526423E-2</v>
      </c>
    </row>
    <row r="13" spans="1:81" x14ac:dyDescent="0.3">
      <c r="A13" s="5" t="s">
        <v>11</v>
      </c>
      <c r="B13">
        <v>21</v>
      </c>
      <c r="C13">
        <v>17</v>
      </c>
      <c r="D13">
        <v>22</v>
      </c>
      <c r="E13">
        <f t="shared" si="1"/>
        <v>20</v>
      </c>
      <c r="F13" s="1">
        <f t="shared" si="2"/>
        <v>0.05</v>
      </c>
      <c r="G13" s="14">
        <f t="shared" si="0"/>
        <v>4.3159438219339562E-2</v>
      </c>
      <c r="H13">
        <v>21</v>
      </c>
      <c r="I13">
        <v>21</v>
      </c>
      <c r="J13">
        <v>21</v>
      </c>
      <c r="K13">
        <f t="shared" si="3"/>
        <v>21</v>
      </c>
      <c r="L13" s="1">
        <f t="shared" si="4"/>
        <v>4.7619047619047616E-2</v>
      </c>
      <c r="M13" s="14">
        <f t="shared" si="5"/>
        <v>4.0373937667203555E-2</v>
      </c>
      <c r="N13">
        <v>21</v>
      </c>
      <c r="O13">
        <v>21</v>
      </c>
      <c r="P13">
        <v>22</v>
      </c>
      <c r="Q13">
        <f t="shared" si="6"/>
        <v>21.33</v>
      </c>
      <c r="R13" s="1">
        <f t="shared" si="7"/>
        <v>4.6882325363338022E-2</v>
      </c>
      <c r="S13" s="14">
        <f t="shared" si="8"/>
        <v>3.9091401326350993E-2</v>
      </c>
      <c r="T13">
        <v>21</v>
      </c>
      <c r="U13">
        <v>21</v>
      </c>
      <c r="V13">
        <v>22</v>
      </c>
      <c r="W13">
        <f t="shared" si="9"/>
        <v>21.33</v>
      </c>
      <c r="X13" s="1">
        <f t="shared" si="10"/>
        <v>4.6882325363338022E-2</v>
      </c>
      <c r="Y13" s="14">
        <f t="shared" si="11"/>
        <v>3.9091401326350993E-2</v>
      </c>
      <c r="Z13">
        <v>21</v>
      </c>
      <c r="AA13">
        <v>21</v>
      </c>
      <c r="AB13">
        <v>22</v>
      </c>
      <c r="AC13">
        <f t="shared" si="12"/>
        <v>21.33</v>
      </c>
      <c r="AD13" s="1">
        <f t="shared" si="13"/>
        <v>4.6882325363338022E-2</v>
      </c>
      <c r="AE13" s="14">
        <f t="shared" si="14"/>
        <v>3.9061143955076059E-2</v>
      </c>
      <c r="AF13">
        <v>21</v>
      </c>
      <c r="AG13">
        <v>21</v>
      </c>
      <c r="AH13">
        <v>21</v>
      </c>
      <c r="AI13">
        <v>21</v>
      </c>
      <c r="AJ13">
        <v>21</v>
      </c>
      <c r="AK13">
        <v>23</v>
      </c>
      <c r="AL13">
        <v>26</v>
      </c>
      <c r="AM13">
        <f t="shared" si="15"/>
        <v>22</v>
      </c>
      <c r="AN13" s="1">
        <f t="shared" si="16"/>
        <v>4.5454545454545456E-2</v>
      </c>
      <c r="AO13" s="14">
        <f t="shared" si="17"/>
        <v>3.8208034803159645E-2</v>
      </c>
      <c r="AP13">
        <v>21</v>
      </c>
      <c r="AQ13">
        <v>21</v>
      </c>
      <c r="AR13">
        <v>22</v>
      </c>
      <c r="AS13">
        <v>21</v>
      </c>
      <c r="AT13">
        <v>21</v>
      </c>
      <c r="AU13">
        <v>23</v>
      </c>
      <c r="AV13">
        <v>26</v>
      </c>
      <c r="AW13">
        <f t="shared" si="18"/>
        <v>22.14</v>
      </c>
      <c r="AX13" s="1">
        <f t="shared" si="19"/>
        <v>4.5167118337850046E-2</v>
      </c>
      <c r="AY13" s="14">
        <f t="shared" si="29"/>
        <v>3.7903433629475049E-2</v>
      </c>
      <c r="AZ13">
        <v>21</v>
      </c>
      <c r="BA13">
        <v>21</v>
      </c>
      <c r="BB13">
        <v>22</v>
      </c>
      <c r="BC13">
        <v>21</v>
      </c>
      <c r="BD13">
        <v>21</v>
      </c>
      <c r="BE13">
        <v>23</v>
      </c>
      <c r="BF13">
        <v>27</v>
      </c>
      <c r="BG13">
        <f t="shared" si="20"/>
        <v>22.29</v>
      </c>
      <c r="BH13" s="1">
        <f t="shared" si="21"/>
        <v>4.4863167339614179E-2</v>
      </c>
      <c r="BI13" s="14">
        <f t="shared" si="22"/>
        <v>3.7641080729880198E-2</v>
      </c>
      <c r="BJ13">
        <v>21</v>
      </c>
      <c r="BK13">
        <v>21</v>
      </c>
      <c r="BL13">
        <v>22</v>
      </c>
      <c r="BM13">
        <v>21</v>
      </c>
      <c r="BN13">
        <v>21</v>
      </c>
      <c r="BO13">
        <v>23</v>
      </c>
      <c r="BP13">
        <v>27</v>
      </c>
      <c r="BQ13">
        <f t="shared" si="23"/>
        <v>22.29</v>
      </c>
      <c r="BR13" s="1">
        <f t="shared" si="24"/>
        <v>4.4863167339614179E-2</v>
      </c>
      <c r="BS13" s="14">
        <f t="shared" si="25"/>
        <v>3.7449802674993454E-2</v>
      </c>
      <c r="BT13">
        <v>21</v>
      </c>
      <c r="BU13">
        <v>21</v>
      </c>
      <c r="BV13">
        <v>22</v>
      </c>
      <c r="BW13">
        <v>21</v>
      </c>
      <c r="BX13">
        <v>21</v>
      </c>
      <c r="BY13">
        <v>26</v>
      </c>
      <c r="BZ13">
        <v>28</v>
      </c>
      <c r="CA13">
        <f t="shared" si="26"/>
        <v>22.86</v>
      </c>
      <c r="CB13" s="1">
        <f t="shared" si="27"/>
        <v>4.3744531933508315E-2</v>
      </c>
      <c r="CC13" s="14">
        <f t="shared" si="28"/>
        <v>3.668334443841758E-2</v>
      </c>
    </row>
    <row r="14" spans="1:81" x14ac:dyDescent="0.3">
      <c r="A14" s="5" t="s">
        <v>48</v>
      </c>
      <c r="B14">
        <v>26</v>
      </c>
      <c r="C14">
        <v>26</v>
      </c>
      <c r="D14">
        <v>27</v>
      </c>
      <c r="E14">
        <f t="shared" si="1"/>
        <v>26.33</v>
      </c>
      <c r="F14" s="1">
        <f t="shared" si="2"/>
        <v>3.7979491074819599E-2</v>
      </c>
      <c r="G14" s="14">
        <f t="shared" si="0"/>
        <v>3.278346997291269E-2</v>
      </c>
      <c r="H14">
        <v>26</v>
      </c>
      <c r="I14">
        <v>26</v>
      </c>
      <c r="J14">
        <v>27</v>
      </c>
      <c r="K14">
        <f t="shared" si="3"/>
        <v>26.33</v>
      </c>
      <c r="L14" s="1">
        <f t="shared" si="4"/>
        <v>3.7979491074819599E-2</v>
      </c>
      <c r="M14" s="14">
        <f t="shared" si="5"/>
        <v>3.220101371102449E-2</v>
      </c>
      <c r="N14">
        <v>26</v>
      </c>
      <c r="O14">
        <v>26</v>
      </c>
      <c r="P14">
        <v>27</v>
      </c>
      <c r="Q14">
        <f t="shared" si="6"/>
        <v>26.33</v>
      </c>
      <c r="R14" s="1">
        <f t="shared" si="7"/>
        <v>3.7979491074819599E-2</v>
      </c>
      <c r="S14" s="14">
        <f t="shared" si="8"/>
        <v>3.1668043687469304E-2</v>
      </c>
      <c r="T14">
        <v>26</v>
      </c>
      <c r="U14">
        <v>26</v>
      </c>
      <c r="V14">
        <v>27</v>
      </c>
      <c r="W14">
        <f t="shared" si="9"/>
        <v>26.33</v>
      </c>
      <c r="X14" s="1">
        <f t="shared" si="10"/>
        <v>3.7979491074819599E-2</v>
      </c>
      <c r="Y14" s="14">
        <f t="shared" si="11"/>
        <v>3.1668043687469304E-2</v>
      </c>
      <c r="Z14">
        <v>26</v>
      </c>
      <c r="AA14">
        <v>26</v>
      </c>
      <c r="AB14">
        <v>27</v>
      </c>
      <c r="AC14">
        <f t="shared" si="12"/>
        <v>26.33</v>
      </c>
      <c r="AD14" s="1">
        <f t="shared" si="13"/>
        <v>3.7979491074819599E-2</v>
      </c>
      <c r="AE14" s="14">
        <f t="shared" si="14"/>
        <v>3.1643532114005786E-2</v>
      </c>
      <c r="AF14">
        <v>26</v>
      </c>
      <c r="AG14">
        <v>26</v>
      </c>
      <c r="AH14">
        <v>27</v>
      </c>
      <c r="AI14">
        <v>26</v>
      </c>
      <c r="AJ14">
        <v>26</v>
      </c>
      <c r="AK14">
        <v>29</v>
      </c>
      <c r="AL14">
        <v>39</v>
      </c>
      <c r="AM14">
        <f t="shared" si="15"/>
        <v>28.43</v>
      </c>
      <c r="AN14" s="1">
        <f t="shared" si="16"/>
        <v>3.5174111853675694E-2</v>
      </c>
      <c r="AO14" s="14">
        <f t="shared" si="17"/>
        <v>2.9566541177260364E-2</v>
      </c>
      <c r="AP14">
        <v>26</v>
      </c>
      <c r="AQ14">
        <v>26</v>
      </c>
      <c r="AR14">
        <v>27</v>
      </c>
      <c r="AS14">
        <v>26</v>
      </c>
      <c r="AT14">
        <v>26</v>
      </c>
      <c r="AU14">
        <v>29</v>
      </c>
      <c r="AV14">
        <v>39</v>
      </c>
      <c r="AW14">
        <f t="shared" si="18"/>
        <v>28.43</v>
      </c>
      <c r="AX14" s="1">
        <f t="shared" si="19"/>
        <v>3.5174111853675694E-2</v>
      </c>
      <c r="AY14" s="14">
        <f t="shared" si="29"/>
        <v>2.9517482256650636E-2</v>
      </c>
      <c r="AZ14">
        <v>26</v>
      </c>
      <c r="BA14">
        <v>26</v>
      </c>
      <c r="BB14">
        <v>27</v>
      </c>
      <c r="BC14">
        <v>26</v>
      </c>
      <c r="BD14">
        <v>26</v>
      </c>
      <c r="BE14">
        <v>29</v>
      </c>
      <c r="BF14">
        <v>41</v>
      </c>
      <c r="BG14">
        <f t="shared" si="20"/>
        <v>28.71</v>
      </c>
      <c r="BH14" s="1">
        <f t="shared" si="21"/>
        <v>3.4831069313827935E-2</v>
      </c>
      <c r="BI14" s="14">
        <f t="shared" si="22"/>
        <v>2.922395295956216E-2</v>
      </c>
      <c r="BJ14">
        <v>26</v>
      </c>
      <c r="BK14">
        <v>26</v>
      </c>
      <c r="BL14">
        <v>27</v>
      </c>
      <c r="BM14">
        <v>26</v>
      </c>
      <c r="BN14">
        <v>26</v>
      </c>
      <c r="BO14">
        <v>29</v>
      </c>
      <c r="BP14">
        <v>39</v>
      </c>
      <c r="BQ14">
        <f t="shared" si="23"/>
        <v>28.43</v>
      </c>
      <c r="BR14" s="1">
        <f t="shared" si="24"/>
        <v>3.5174111853675694E-2</v>
      </c>
      <c r="BS14" s="14">
        <f t="shared" si="25"/>
        <v>2.9361804489117273E-2</v>
      </c>
      <c r="BT14">
        <v>26</v>
      </c>
      <c r="BU14">
        <v>26</v>
      </c>
      <c r="BV14">
        <v>27</v>
      </c>
      <c r="BW14">
        <v>26</v>
      </c>
      <c r="BX14">
        <v>26</v>
      </c>
      <c r="BY14">
        <v>29</v>
      </c>
      <c r="BZ14">
        <v>37</v>
      </c>
      <c r="CA14">
        <f t="shared" si="26"/>
        <v>28.14</v>
      </c>
      <c r="CB14" s="1">
        <f t="shared" si="27"/>
        <v>3.5536602700781801E-2</v>
      </c>
      <c r="CC14" s="14">
        <f t="shared" si="28"/>
        <v>2.9800328850825362E-2</v>
      </c>
    </row>
    <row r="15" spans="1:81" x14ac:dyDescent="0.3">
      <c r="A15" s="5" t="s">
        <v>13</v>
      </c>
      <c r="B15">
        <v>34</v>
      </c>
      <c r="C15">
        <v>34</v>
      </c>
      <c r="D15">
        <v>35</v>
      </c>
      <c r="E15">
        <f t="shared" si="1"/>
        <v>34.33</v>
      </c>
      <c r="F15" s="1">
        <f t="shared" si="2"/>
        <v>2.9129041654529567E-2</v>
      </c>
      <c r="G15" s="14">
        <f t="shared" si="0"/>
        <v>2.5143861473544749E-2</v>
      </c>
      <c r="H15">
        <v>34</v>
      </c>
      <c r="I15">
        <v>34</v>
      </c>
      <c r="J15">
        <v>35</v>
      </c>
      <c r="K15">
        <f t="shared" si="3"/>
        <v>34.33</v>
      </c>
      <c r="L15" s="1">
        <f t="shared" si="4"/>
        <v>2.9129041654529567E-2</v>
      </c>
      <c r="M15" s="14">
        <f t="shared" si="5"/>
        <v>2.4697136353372409E-2</v>
      </c>
      <c r="N15">
        <v>34</v>
      </c>
      <c r="O15">
        <v>34</v>
      </c>
      <c r="P15">
        <v>35</v>
      </c>
      <c r="Q15">
        <f t="shared" si="6"/>
        <v>34.33</v>
      </c>
      <c r="R15" s="1">
        <f t="shared" si="7"/>
        <v>2.9129041654529567E-2</v>
      </c>
      <c r="S15" s="14">
        <f t="shared" si="8"/>
        <v>2.4288365577951259E-2</v>
      </c>
      <c r="T15">
        <v>34</v>
      </c>
      <c r="U15">
        <v>34</v>
      </c>
      <c r="V15">
        <v>35</v>
      </c>
      <c r="W15">
        <f t="shared" si="9"/>
        <v>34.33</v>
      </c>
      <c r="X15" s="1">
        <f t="shared" si="10"/>
        <v>2.9129041654529567E-2</v>
      </c>
      <c r="Y15" s="14">
        <f t="shared" si="11"/>
        <v>2.4288365577951259E-2</v>
      </c>
      <c r="Z15">
        <v>34</v>
      </c>
      <c r="AA15">
        <v>34</v>
      </c>
      <c r="AB15">
        <v>35</v>
      </c>
      <c r="AC15">
        <f t="shared" si="12"/>
        <v>34.33</v>
      </c>
      <c r="AD15" s="1">
        <f t="shared" si="13"/>
        <v>2.9129041654529567E-2</v>
      </c>
      <c r="AE15" s="14">
        <f t="shared" si="14"/>
        <v>2.426956599364324E-2</v>
      </c>
      <c r="AF15">
        <v>34</v>
      </c>
      <c r="AG15">
        <v>34</v>
      </c>
      <c r="AH15">
        <v>35</v>
      </c>
      <c r="AI15">
        <v>34</v>
      </c>
      <c r="AJ15">
        <v>34</v>
      </c>
      <c r="AK15">
        <v>34</v>
      </c>
      <c r="AL15">
        <v>47</v>
      </c>
      <c r="AM15">
        <f t="shared" si="15"/>
        <v>36</v>
      </c>
      <c r="AN15" s="1">
        <f t="shared" si="16"/>
        <v>2.7777777777777776E-2</v>
      </c>
      <c r="AO15" s="14">
        <f t="shared" si="17"/>
        <v>2.3349354601930893E-2</v>
      </c>
      <c r="AP15">
        <v>34</v>
      </c>
      <c r="AQ15">
        <v>34</v>
      </c>
      <c r="AR15">
        <v>35</v>
      </c>
      <c r="AS15">
        <v>34</v>
      </c>
      <c r="AT15">
        <v>34</v>
      </c>
      <c r="AU15">
        <v>34</v>
      </c>
      <c r="AV15">
        <v>47</v>
      </c>
      <c r="AW15">
        <f t="shared" si="18"/>
        <v>36</v>
      </c>
      <c r="AX15" s="1">
        <f t="shared" si="19"/>
        <v>2.7777777777777776E-2</v>
      </c>
      <c r="AY15" s="14">
        <f t="shared" si="29"/>
        <v>2.3310611682127155E-2</v>
      </c>
      <c r="AZ15">
        <v>34</v>
      </c>
      <c r="BA15">
        <v>34</v>
      </c>
      <c r="BB15">
        <v>35</v>
      </c>
      <c r="BC15">
        <v>34</v>
      </c>
      <c r="BD15">
        <v>34</v>
      </c>
      <c r="BE15">
        <v>34</v>
      </c>
      <c r="BF15">
        <v>47</v>
      </c>
      <c r="BG15">
        <f t="shared" si="20"/>
        <v>36</v>
      </c>
      <c r="BH15" s="1">
        <f t="shared" si="21"/>
        <v>2.7777777777777776E-2</v>
      </c>
      <c r="BI15" s="14">
        <f t="shared" si="22"/>
        <v>2.3306102485250821E-2</v>
      </c>
      <c r="BJ15">
        <v>34</v>
      </c>
      <c r="BK15">
        <v>34</v>
      </c>
      <c r="BL15">
        <v>35</v>
      </c>
      <c r="BM15">
        <v>34</v>
      </c>
      <c r="BN15">
        <v>34</v>
      </c>
      <c r="BO15">
        <v>34</v>
      </c>
      <c r="BP15">
        <v>47</v>
      </c>
      <c r="BQ15">
        <f t="shared" si="23"/>
        <v>36</v>
      </c>
      <c r="BR15" s="1">
        <f t="shared" si="24"/>
        <v>2.7777777777777776E-2</v>
      </c>
      <c r="BS15" s="14">
        <f t="shared" si="25"/>
        <v>2.3187669489600111E-2</v>
      </c>
      <c r="BT15">
        <v>34</v>
      </c>
      <c r="BU15">
        <v>34</v>
      </c>
      <c r="BV15">
        <v>35</v>
      </c>
      <c r="BW15">
        <v>34</v>
      </c>
      <c r="BX15">
        <v>34</v>
      </c>
      <c r="BY15">
        <v>34</v>
      </c>
      <c r="BZ15">
        <v>47</v>
      </c>
      <c r="CA15">
        <f t="shared" si="26"/>
        <v>36</v>
      </c>
      <c r="CB15" s="1">
        <f t="shared" si="27"/>
        <v>2.7777777777777776E-2</v>
      </c>
      <c r="CC15" s="14">
        <f t="shared" si="28"/>
        <v>2.329392371839516E-2</v>
      </c>
    </row>
    <row r="16" spans="1:81" x14ac:dyDescent="0.3">
      <c r="A16" s="5" t="s">
        <v>49</v>
      </c>
      <c r="B16">
        <v>51</v>
      </c>
      <c r="C16">
        <v>34</v>
      </c>
      <c r="D16">
        <v>50</v>
      </c>
      <c r="E16">
        <f t="shared" si="1"/>
        <v>45</v>
      </c>
      <c r="F16" s="1">
        <f t="shared" si="2"/>
        <v>2.2222222222222223E-2</v>
      </c>
      <c r="G16" s="14">
        <f t="shared" si="0"/>
        <v>1.9181972541928691E-2</v>
      </c>
      <c r="H16">
        <v>51</v>
      </c>
      <c r="I16">
        <v>34</v>
      </c>
      <c r="J16">
        <v>47</v>
      </c>
      <c r="K16">
        <f t="shared" si="3"/>
        <v>44</v>
      </c>
      <c r="L16" s="1">
        <f t="shared" si="4"/>
        <v>2.2727272727272728E-2</v>
      </c>
      <c r="M16" s="14">
        <f t="shared" si="5"/>
        <v>1.9269379341165335E-2</v>
      </c>
      <c r="N16">
        <v>34</v>
      </c>
      <c r="O16">
        <v>41</v>
      </c>
      <c r="P16">
        <v>37</v>
      </c>
      <c r="Q16">
        <f t="shared" si="6"/>
        <v>37.33</v>
      </c>
      <c r="R16" s="1">
        <f t="shared" si="7"/>
        <v>2.6788106080900081E-2</v>
      </c>
      <c r="S16" s="14">
        <f t="shared" si="8"/>
        <v>2.2336447637049738E-2</v>
      </c>
      <c r="T16">
        <v>34</v>
      </c>
      <c r="U16">
        <v>41</v>
      </c>
      <c r="V16">
        <v>37</v>
      </c>
      <c r="W16">
        <f t="shared" si="9"/>
        <v>37.33</v>
      </c>
      <c r="X16" s="1">
        <f t="shared" si="10"/>
        <v>2.6788106080900081E-2</v>
      </c>
      <c r="Y16" s="14">
        <f t="shared" si="11"/>
        <v>2.2336447637049738E-2</v>
      </c>
      <c r="Z16">
        <v>34</v>
      </c>
      <c r="AA16">
        <v>41</v>
      </c>
      <c r="AB16">
        <v>37</v>
      </c>
      <c r="AC16">
        <f t="shared" si="12"/>
        <v>37.33</v>
      </c>
      <c r="AD16" s="1">
        <f t="shared" si="13"/>
        <v>2.6788106080900081E-2</v>
      </c>
      <c r="AE16" s="14">
        <f t="shared" si="14"/>
        <v>2.2319158868517878E-2</v>
      </c>
      <c r="AF16">
        <v>34</v>
      </c>
      <c r="AG16">
        <v>41</v>
      </c>
      <c r="AH16">
        <v>35</v>
      </c>
      <c r="AI16">
        <v>36</v>
      </c>
      <c r="AJ16">
        <v>41</v>
      </c>
      <c r="AK16">
        <v>51</v>
      </c>
      <c r="AL16">
        <v>47</v>
      </c>
      <c r="AM16">
        <f t="shared" si="15"/>
        <v>40.71</v>
      </c>
      <c r="AN16" s="1">
        <f t="shared" si="16"/>
        <v>2.4563989191844757E-2</v>
      </c>
      <c r="AO16" s="14">
        <f t="shared" si="17"/>
        <v>2.0647918586821721E-2</v>
      </c>
      <c r="AP16">
        <v>34</v>
      </c>
      <c r="AQ16">
        <v>41</v>
      </c>
      <c r="AR16">
        <v>35</v>
      </c>
      <c r="AS16">
        <v>36</v>
      </c>
      <c r="AT16">
        <v>41</v>
      </c>
      <c r="AU16">
        <v>51</v>
      </c>
      <c r="AV16">
        <v>47</v>
      </c>
      <c r="AW16">
        <f t="shared" si="18"/>
        <v>40.71</v>
      </c>
      <c r="AX16" s="1">
        <f t="shared" si="19"/>
        <v>2.4563989191844757E-2</v>
      </c>
      <c r="AY16" s="14">
        <f t="shared" si="29"/>
        <v>2.0613658082942216E-2</v>
      </c>
      <c r="AZ16">
        <v>34</v>
      </c>
      <c r="BA16">
        <v>41</v>
      </c>
      <c r="BB16">
        <v>35</v>
      </c>
      <c r="BC16">
        <v>36</v>
      </c>
      <c r="BD16">
        <v>41</v>
      </c>
      <c r="BE16">
        <v>51</v>
      </c>
      <c r="BF16">
        <v>47</v>
      </c>
      <c r="BG16">
        <f t="shared" si="20"/>
        <v>40.71</v>
      </c>
      <c r="BH16" s="1">
        <f t="shared" si="21"/>
        <v>2.4563989191844757E-2</v>
      </c>
      <c r="BI16" s="14">
        <f t="shared" si="22"/>
        <v>2.0609670583862188E-2</v>
      </c>
      <c r="BJ16">
        <v>34</v>
      </c>
      <c r="BK16">
        <v>41</v>
      </c>
      <c r="BL16">
        <v>35</v>
      </c>
      <c r="BM16">
        <v>36</v>
      </c>
      <c r="BN16">
        <v>41</v>
      </c>
      <c r="BO16">
        <v>51</v>
      </c>
      <c r="BP16">
        <v>49</v>
      </c>
      <c r="BQ16">
        <f t="shared" si="23"/>
        <v>41</v>
      </c>
      <c r="BR16" s="1">
        <f t="shared" si="24"/>
        <v>2.4390243902439025E-2</v>
      </c>
      <c r="BS16" s="14">
        <f t="shared" si="25"/>
        <v>2.0359904917697663E-2</v>
      </c>
      <c r="BT16">
        <v>34</v>
      </c>
      <c r="BU16">
        <v>41</v>
      </c>
      <c r="BV16">
        <v>35</v>
      </c>
      <c r="BW16">
        <v>36</v>
      </c>
      <c r="BX16">
        <v>41</v>
      </c>
      <c r="BY16">
        <v>51</v>
      </c>
      <c r="BZ16">
        <v>49</v>
      </c>
      <c r="CA16">
        <f t="shared" si="26"/>
        <v>41</v>
      </c>
      <c r="CB16" s="1">
        <f t="shared" si="27"/>
        <v>2.4390243902439025E-2</v>
      </c>
      <c r="CC16" s="14">
        <f t="shared" si="28"/>
        <v>2.0453201313712827E-2</v>
      </c>
    </row>
    <row r="17" spans="1:81" x14ac:dyDescent="0.3">
      <c r="A17" s="5" t="s">
        <v>25</v>
      </c>
      <c r="B17">
        <v>51</v>
      </c>
      <c r="C17">
        <v>67</v>
      </c>
      <c r="D17">
        <v>55</v>
      </c>
      <c r="E17">
        <f t="shared" si="1"/>
        <v>57.67</v>
      </c>
      <c r="F17" s="1">
        <f t="shared" si="2"/>
        <v>1.7340038148083926E-2</v>
      </c>
      <c r="G17" s="14">
        <f t="shared" si="0"/>
        <v>1.4967726103464385E-2</v>
      </c>
      <c r="H17">
        <v>51</v>
      </c>
      <c r="I17">
        <v>67</v>
      </c>
      <c r="J17">
        <v>60</v>
      </c>
      <c r="K17">
        <f t="shared" si="3"/>
        <v>59.33</v>
      </c>
      <c r="L17" s="1">
        <f t="shared" si="4"/>
        <v>1.6854879487611663E-2</v>
      </c>
      <c r="M17" s="14">
        <f t="shared" si="5"/>
        <v>1.4290454930242284E-2</v>
      </c>
      <c r="N17">
        <v>51</v>
      </c>
      <c r="O17">
        <v>67</v>
      </c>
      <c r="P17">
        <v>55</v>
      </c>
      <c r="Q17">
        <f t="shared" si="6"/>
        <v>57.67</v>
      </c>
      <c r="R17" s="1">
        <f t="shared" si="7"/>
        <v>1.7340038148083926E-2</v>
      </c>
      <c r="S17" s="14">
        <f t="shared" si="8"/>
        <v>1.4458463504266805E-2</v>
      </c>
      <c r="T17">
        <v>51</v>
      </c>
      <c r="U17">
        <v>67</v>
      </c>
      <c r="V17">
        <v>55</v>
      </c>
      <c r="W17">
        <f t="shared" si="9"/>
        <v>57.67</v>
      </c>
      <c r="X17" s="1">
        <f t="shared" si="10"/>
        <v>1.7340038148083926E-2</v>
      </c>
      <c r="Y17" s="14">
        <f t="shared" si="11"/>
        <v>1.4458463504266805E-2</v>
      </c>
      <c r="Z17">
        <v>51</v>
      </c>
      <c r="AA17">
        <v>67</v>
      </c>
      <c r="AB17">
        <v>55</v>
      </c>
      <c r="AC17">
        <f t="shared" si="12"/>
        <v>57.67</v>
      </c>
      <c r="AD17" s="1">
        <f t="shared" si="13"/>
        <v>1.7340038148083926E-2</v>
      </c>
      <c r="AE17" s="14">
        <f t="shared" si="14"/>
        <v>1.4447272421740461E-2</v>
      </c>
      <c r="AF17">
        <v>51</v>
      </c>
      <c r="AG17">
        <v>41</v>
      </c>
      <c r="AH17">
        <v>50</v>
      </c>
      <c r="AI17">
        <v>51</v>
      </c>
      <c r="AJ17">
        <v>41</v>
      </c>
      <c r="AK17">
        <v>67</v>
      </c>
      <c r="AL17">
        <v>54</v>
      </c>
      <c r="AM17">
        <f t="shared" si="15"/>
        <v>50.71</v>
      </c>
      <c r="AN17" s="1">
        <f t="shared" si="16"/>
        <v>1.9719976336028396E-2</v>
      </c>
      <c r="AO17" s="14">
        <f t="shared" si="17"/>
        <v>1.6576153927618065E-2</v>
      </c>
      <c r="AP17">
        <v>51</v>
      </c>
      <c r="AQ17">
        <v>41</v>
      </c>
      <c r="AR17">
        <v>55</v>
      </c>
      <c r="AS17">
        <v>51</v>
      </c>
      <c r="AT17">
        <v>41</v>
      </c>
      <c r="AU17">
        <v>67</v>
      </c>
      <c r="AV17">
        <v>54</v>
      </c>
      <c r="AW17">
        <f t="shared" si="18"/>
        <v>51.43</v>
      </c>
      <c r="AX17" s="1">
        <f t="shared" si="19"/>
        <v>1.9443904335990667E-2</v>
      </c>
      <c r="AY17" s="14">
        <f t="shared" si="29"/>
        <v>1.631697492818545E-2</v>
      </c>
      <c r="AZ17">
        <v>51</v>
      </c>
      <c r="BA17">
        <v>41</v>
      </c>
      <c r="BB17">
        <v>55</v>
      </c>
      <c r="BC17">
        <v>51</v>
      </c>
      <c r="BD17">
        <v>41</v>
      </c>
      <c r="BE17">
        <v>67</v>
      </c>
      <c r="BF17">
        <v>64</v>
      </c>
      <c r="BG17">
        <f t="shared" si="20"/>
        <v>52.86</v>
      </c>
      <c r="BH17" s="1">
        <f t="shared" si="21"/>
        <v>1.8917896329928113E-2</v>
      </c>
      <c r="BI17" s="14">
        <f t="shared" si="22"/>
        <v>1.5872487504143579E-2</v>
      </c>
      <c r="BJ17">
        <v>51</v>
      </c>
      <c r="BK17">
        <v>41</v>
      </c>
      <c r="BL17">
        <v>55</v>
      </c>
      <c r="BM17">
        <v>51</v>
      </c>
      <c r="BN17">
        <v>41</v>
      </c>
      <c r="BO17">
        <v>67</v>
      </c>
      <c r="BP17">
        <v>64</v>
      </c>
      <c r="BQ17">
        <f t="shared" si="23"/>
        <v>52.86</v>
      </c>
      <c r="BR17" s="1">
        <f t="shared" si="24"/>
        <v>1.8917896329928113E-2</v>
      </c>
      <c r="BS17" s="14">
        <f t="shared" si="25"/>
        <v>1.5791829391328116E-2</v>
      </c>
      <c r="BT17">
        <v>51</v>
      </c>
      <c r="BU17">
        <v>41</v>
      </c>
      <c r="BV17">
        <v>55</v>
      </c>
      <c r="BW17">
        <v>51</v>
      </c>
      <c r="BX17">
        <v>41</v>
      </c>
      <c r="BY17">
        <v>67</v>
      </c>
      <c r="BZ17">
        <v>69</v>
      </c>
      <c r="CA17">
        <f t="shared" si="26"/>
        <v>53.57</v>
      </c>
      <c r="CB17" s="1">
        <f t="shared" si="27"/>
        <v>1.8667164457718873E-2</v>
      </c>
      <c r="CC17" s="14">
        <f t="shared" si="28"/>
        <v>1.5653934177006269E-2</v>
      </c>
    </row>
    <row r="18" spans="1:81" x14ac:dyDescent="0.3">
      <c r="A18" s="5" t="s">
        <v>20</v>
      </c>
      <c r="B18">
        <v>67</v>
      </c>
      <c r="C18">
        <v>51</v>
      </c>
      <c r="D18">
        <v>70</v>
      </c>
      <c r="E18">
        <f t="shared" si="1"/>
        <v>62.67</v>
      </c>
      <c r="F18" s="1">
        <f t="shared" si="2"/>
        <v>1.5956598053295037E-2</v>
      </c>
      <c r="G18" s="14">
        <f t="shared" si="0"/>
        <v>1.3773556157440421E-2</v>
      </c>
      <c r="H18">
        <v>51</v>
      </c>
      <c r="I18">
        <v>41</v>
      </c>
      <c r="J18">
        <v>65</v>
      </c>
      <c r="K18">
        <f t="shared" si="3"/>
        <v>52.33</v>
      </c>
      <c r="L18" s="1">
        <f t="shared" si="4"/>
        <v>1.910949742021785E-2</v>
      </c>
      <c r="M18" s="14">
        <f t="shared" si="5"/>
        <v>1.6202038811604716E-2</v>
      </c>
      <c r="N18">
        <v>67</v>
      </c>
      <c r="O18">
        <v>41</v>
      </c>
      <c r="P18">
        <v>65</v>
      </c>
      <c r="Q18">
        <f t="shared" si="6"/>
        <v>57.67</v>
      </c>
      <c r="R18" s="1">
        <f t="shared" si="7"/>
        <v>1.7340038148083926E-2</v>
      </c>
      <c r="S18" s="14">
        <f t="shared" si="8"/>
        <v>1.4458463504266805E-2</v>
      </c>
      <c r="T18">
        <v>67</v>
      </c>
      <c r="U18">
        <v>41</v>
      </c>
      <c r="V18">
        <v>65</v>
      </c>
      <c r="W18">
        <f t="shared" si="9"/>
        <v>57.67</v>
      </c>
      <c r="X18" s="1">
        <f t="shared" si="10"/>
        <v>1.7340038148083926E-2</v>
      </c>
      <c r="Y18" s="14">
        <f t="shared" si="11"/>
        <v>1.4458463504266805E-2</v>
      </c>
      <c r="Z18">
        <v>67</v>
      </c>
      <c r="AA18">
        <v>41</v>
      </c>
      <c r="AB18">
        <v>70</v>
      </c>
      <c r="AC18">
        <f t="shared" si="12"/>
        <v>59.33</v>
      </c>
      <c r="AD18" s="1">
        <f t="shared" si="13"/>
        <v>1.6854879487611663E-2</v>
      </c>
      <c r="AE18" s="14">
        <f t="shared" si="14"/>
        <v>1.4043050742655864E-2</v>
      </c>
      <c r="AF18">
        <v>67</v>
      </c>
      <c r="AG18">
        <v>41</v>
      </c>
      <c r="AH18">
        <v>65</v>
      </c>
      <c r="AI18">
        <v>67</v>
      </c>
      <c r="AJ18">
        <v>41</v>
      </c>
      <c r="AK18">
        <v>81</v>
      </c>
      <c r="AL18">
        <v>78</v>
      </c>
      <c r="AM18">
        <f t="shared" si="15"/>
        <v>62.86</v>
      </c>
      <c r="AN18" s="1">
        <f t="shared" si="16"/>
        <v>1.5908367801463569E-2</v>
      </c>
      <c r="AO18" s="14">
        <f t="shared" si="17"/>
        <v>1.3372204353635255E-2</v>
      </c>
      <c r="AP18">
        <v>67</v>
      </c>
      <c r="AQ18">
        <v>41</v>
      </c>
      <c r="AR18">
        <v>70</v>
      </c>
      <c r="AS18">
        <v>67</v>
      </c>
      <c r="AT18">
        <v>41</v>
      </c>
      <c r="AU18">
        <v>81</v>
      </c>
      <c r="AV18">
        <v>78</v>
      </c>
      <c r="AW18">
        <f t="shared" si="18"/>
        <v>63.57</v>
      </c>
      <c r="AX18" s="1">
        <f t="shared" si="19"/>
        <v>1.5730690577316343E-2</v>
      </c>
      <c r="AY18" s="14">
        <f t="shared" si="29"/>
        <v>1.3200912703422645E-2</v>
      </c>
      <c r="AZ18">
        <v>67</v>
      </c>
      <c r="BA18">
        <v>41</v>
      </c>
      <c r="BB18">
        <v>70</v>
      </c>
      <c r="BC18">
        <v>67</v>
      </c>
      <c r="BD18">
        <v>41</v>
      </c>
      <c r="BE18">
        <v>81</v>
      </c>
      <c r="BF18">
        <v>74</v>
      </c>
      <c r="BG18">
        <f t="shared" si="20"/>
        <v>63</v>
      </c>
      <c r="BH18" s="1">
        <f t="shared" si="21"/>
        <v>1.5873015873015872E-2</v>
      </c>
      <c r="BI18" s="14">
        <f t="shared" si="22"/>
        <v>1.3317772848714755E-2</v>
      </c>
      <c r="BJ18">
        <v>67</v>
      </c>
      <c r="BK18">
        <v>41</v>
      </c>
      <c r="BL18">
        <v>70</v>
      </c>
      <c r="BM18">
        <v>67</v>
      </c>
      <c r="BN18">
        <v>41</v>
      </c>
      <c r="BO18">
        <v>81</v>
      </c>
      <c r="BP18">
        <v>74</v>
      </c>
      <c r="BQ18">
        <f t="shared" si="23"/>
        <v>63</v>
      </c>
      <c r="BR18" s="1">
        <f t="shared" si="24"/>
        <v>1.5873015873015872E-2</v>
      </c>
      <c r="BS18" s="14">
        <f t="shared" si="25"/>
        <v>1.3250096851200065E-2</v>
      </c>
      <c r="BT18">
        <v>67</v>
      </c>
      <c r="BU18">
        <v>41</v>
      </c>
      <c r="BV18">
        <v>65</v>
      </c>
      <c r="BW18">
        <v>67</v>
      </c>
      <c r="BX18">
        <v>41</v>
      </c>
      <c r="BY18">
        <v>81</v>
      </c>
      <c r="BZ18">
        <v>83</v>
      </c>
      <c r="CA18">
        <f t="shared" si="26"/>
        <v>63.57</v>
      </c>
      <c r="CB18" s="1">
        <f t="shared" si="27"/>
        <v>1.5730690577316343E-2</v>
      </c>
      <c r="CC18" s="14">
        <f t="shared" si="28"/>
        <v>1.3191462228444639E-2</v>
      </c>
    </row>
    <row r="19" spans="1:81" x14ac:dyDescent="0.3">
      <c r="A19" s="5" t="s">
        <v>15</v>
      </c>
      <c r="B19">
        <v>81</v>
      </c>
      <c r="C19">
        <v>41</v>
      </c>
      <c r="D19">
        <v>80</v>
      </c>
      <c r="E19">
        <f t="shared" si="1"/>
        <v>67.33</v>
      </c>
      <c r="F19" s="1">
        <f t="shared" si="2"/>
        <v>1.485222040695084E-2</v>
      </c>
      <c r="G19" s="14">
        <f t="shared" si="0"/>
        <v>1.2820269781476179E-2</v>
      </c>
      <c r="H19">
        <v>81</v>
      </c>
      <c r="I19">
        <v>51</v>
      </c>
      <c r="J19">
        <v>75</v>
      </c>
      <c r="K19">
        <f t="shared" si="3"/>
        <v>69</v>
      </c>
      <c r="L19" s="1">
        <f t="shared" si="4"/>
        <v>1.4492753623188406E-2</v>
      </c>
      <c r="M19" s="14">
        <f t="shared" si="5"/>
        <v>1.2287720159583692E-2</v>
      </c>
      <c r="N19">
        <v>67</v>
      </c>
      <c r="O19">
        <v>51</v>
      </c>
      <c r="P19">
        <v>70</v>
      </c>
      <c r="Q19">
        <f>ROUND(AVERAGE(N19:P19),2)</f>
        <v>62.67</v>
      </c>
      <c r="R19" s="1">
        <f>IF(Q19="","",1/Q19)</f>
        <v>1.5956598053295037E-2</v>
      </c>
      <c r="S19" s="14">
        <f t="shared" si="8"/>
        <v>1.3304924051237701E-2</v>
      </c>
      <c r="T19">
        <v>67</v>
      </c>
      <c r="U19">
        <v>51</v>
      </c>
      <c r="V19">
        <v>70</v>
      </c>
      <c r="W19">
        <f t="shared" si="9"/>
        <v>62.67</v>
      </c>
      <c r="X19" s="1">
        <f>IF(W19="","",1/W19)</f>
        <v>1.5956598053295037E-2</v>
      </c>
      <c r="Y19" s="14">
        <f t="shared" si="11"/>
        <v>1.3304924051237701E-2</v>
      </c>
      <c r="Z19">
        <v>67</v>
      </c>
      <c r="AA19">
        <v>51</v>
      </c>
      <c r="AB19">
        <v>70</v>
      </c>
      <c r="AC19">
        <f t="shared" si="12"/>
        <v>62.67</v>
      </c>
      <c r="AD19" s="1">
        <f>IF(AC19="","",1/AC19)</f>
        <v>1.5956598053295037E-2</v>
      </c>
      <c r="AE19" s="14">
        <f t="shared" si="14"/>
        <v>1.3294625826739626E-2</v>
      </c>
      <c r="AF19">
        <v>67</v>
      </c>
      <c r="AG19">
        <v>51</v>
      </c>
      <c r="AH19">
        <v>70</v>
      </c>
      <c r="AI19">
        <v>67</v>
      </c>
      <c r="AJ19">
        <v>51</v>
      </c>
      <c r="AK19">
        <v>67</v>
      </c>
      <c r="AL19">
        <v>78</v>
      </c>
      <c r="AM19">
        <f t="shared" si="15"/>
        <v>64.430000000000007</v>
      </c>
      <c r="AN19" s="1">
        <f>IF(AM19="","",1/AM19)</f>
        <v>1.5520720161415489E-2</v>
      </c>
      <c r="AO19" s="14">
        <f t="shared" si="17"/>
        <v>1.3046356754144221E-2</v>
      </c>
      <c r="AP19">
        <v>67</v>
      </c>
      <c r="AQ19">
        <v>51</v>
      </c>
      <c r="AR19">
        <v>70</v>
      </c>
      <c r="AS19">
        <v>67</v>
      </c>
      <c r="AT19">
        <v>51</v>
      </c>
      <c r="AU19">
        <v>67</v>
      </c>
      <c r="AV19">
        <v>78</v>
      </c>
      <c r="AW19">
        <f t="shared" si="18"/>
        <v>64.430000000000007</v>
      </c>
      <c r="AX19" s="1">
        <f>IF(AW19="","",1/AW19)</f>
        <v>1.5520720161415489E-2</v>
      </c>
      <c r="AY19" s="14">
        <f t="shared" si="29"/>
        <v>1.3024709305549862E-2</v>
      </c>
      <c r="AZ19">
        <v>67</v>
      </c>
      <c r="BA19">
        <v>51</v>
      </c>
      <c r="BB19">
        <v>70</v>
      </c>
      <c r="BC19">
        <v>67</v>
      </c>
      <c r="BD19">
        <v>51</v>
      </c>
      <c r="BE19">
        <v>67</v>
      </c>
      <c r="BF19">
        <v>98</v>
      </c>
      <c r="BG19">
        <f t="shared" si="20"/>
        <v>67.290000000000006</v>
      </c>
      <c r="BH19" s="1">
        <f>IF(BG19="","",1/BG19)</f>
        <v>1.4861049190072818E-2</v>
      </c>
      <c r="BI19" s="14">
        <f t="shared" si="22"/>
        <v>1.2468712876638869E-2</v>
      </c>
      <c r="BJ19">
        <v>67</v>
      </c>
      <c r="BK19">
        <v>51</v>
      </c>
      <c r="BL19">
        <v>70</v>
      </c>
      <c r="BM19">
        <v>67</v>
      </c>
      <c r="BN19">
        <v>51</v>
      </c>
      <c r="BO19">
        <v>67</v>
      </c>
      <c r="BP19">
        <v>98</v>
      </c>
      <c r="BQ19">
        <f t="shared" si="23"/>
        <v>67.290000000000006</v>
      </c>
      <c r="BR19" s="1">
        <f>IF(BQ19="","",1/BQ19)</f>
        <v>1.4861049190072818E-2</v>
      </c>
      <c r="BS19" s="14">
        <f t="shared" si="25"/>
        <v>1.2405351487971526E-2</v>
      </c>
      <c r="BT19">
        <v>67</v>
      </c>
      <c r="BU19">
        <v>51</v>
      </c>
      <c r="BV19">
        <v>70</v>
      </c>
      <c r="BW19">
        <v>67</v>
      </c>
      <c r="BX19">
        <v>51</v>
      </c>
      <c r="BY19">
        <v>67</v>
      </c>
      <c r="BZ19">
        <v>98</v>
      </c>
      <c r="CA19">
        <f t="shared" si="26"/>
        <v>67.290000000000006</v>
      </c>
      <c r="CB19" s="1">
        <f>IF(CA19="","",1/CA19)</f>
        <v>1.4861049190072818E-2</v>
      </c>
      <c r="CC19" s="14">
        <f t="shared" si="28"/>
        <v>1.246219726351948E-2</v>
      </c>
    </row>
    <row r="20" spans="1:81" x14ac:dyDescent="0.3">
      <c r="A20" s="5" t="s">
        <v>21</v>
      </c>
      <c r="B20">
        <v>81</v>
      </c>
      <c r="C20">
        <v>51</v>
      </c>
      <c r="D20">
        <v>80</v>
      </c>
      <c r="E20">
        <f t="shared" si="1"/>
        <v>70.67</v>
      </c>
      <c r="F20" s="1">
        <f t="shared" si="2"/>
        <v>1.4150275930380643E-2</v>
      </c>
      <c r="G20" s="14">
        <f t="shared" si="0"/>
        <v>1.2214359196077419E-2</v>
      </c>
      <c r="H20">
        <v>81</v>
      </c>
      <c r="I20">
        <v>51</v>
      </c>
      <c r="J20">
        <v>75</v>
      </c>
      <c r="K20">
        <f t="shared" si="3"/>
        <v>69</v>
      </c>
      <c r="L20" s="1">
        <f t="shared" si="4"/>
        <v>1.4492753623188406E-2</v>
      </c>
      <c r="M20" s="14">
        <f t="shared" si="5"/>
        <v>1.2287720159583692E-2</v>
      </c>
      <c r="N20">
        <v>81</v>
      </c>
      <c r="O20">
        <v>67</v>
      </c>
      <c r="P20">
        <v>80</v>
      </c>
      <c r="Q20">
        <f t="shared" si="6"/>
        <v>76</v>
      </c>
      <c r="R20" s="1">
        <f t="shared" si="7"/>
        <v>1.3157894736842105E-2</v>
      </c>
      <c r="S20" s="14">
        <f t="shared" si="8"/>
        <v>1.0971310398566666E-2</v>
      </c>
      <c r="T20">
        <v>81</v>
      </c>
      <c r="U20">
        <v>67</v>
      </c>
      <c r="V20">
        <v>80</v>
      </c>
      <c r="W20">
        <f t="shared" si="9"/>
        <v>76</v>
      </c>
      <c r="X20" s="1">
        <f t="shared" si="10"/>
        <v>1.3157894736842105E-2</v>
      </c>
      <c r="Y20" s="14">
        <f t="shared" si="11"/>
        <v>1.0971310398566666E-2</v>
      </c>
      <c r="Z20">
        <v>81</v>
      </c>
      <c r="AA20">
        <v>67</v>
      </c>
      <c r="AB20">
        <v>80</v>
      </c>
      <c r="AC20">
        <f t="shared" si="12"/>
        <v>76</v>
      </c>
      <c r="AD20" s="1">
        <f t="shared" ref="AD20:AD53" si="30">IF(AC20="","",1/AC20)</f>
        <v>1.3157894736842105E-2</v>
      </c>
      <c r="AE20" s="14">
        <f t="shared" si="14"/>
        <v>1.0962818428444373E-2</v>
      </c>
      <c r="AF20">
        <v>81</v>
      </c>
      <c r="AG20">
        <v>67</v>
      </c>
      <c r="AH20">
        <v>80</v>
      </c>
      <c r="AI20">
        <v>81</v>
      </c>
      <c r="AJ20">
        <v>67</v>
      </c>
      <c r="AK20">
        <v>67</v>
      </c>
      <c r="AL20">
        <v>88</v>
      </c>
      <c r="AM20">
        <f t="shared" si="15"/>
        <v>75.86</v>
      </c>
      <c r="AN20" s="1">
        <f t="shared" ref="AN20:AN53" si="31">IF(AM20="","",1/AM20)</f>
        <v>1.3182177695755339E-2</v>
      </c>
      <c r="AO20" s="14">
        <f t="shared" si="17"/>
        <v>1.1080632291978806E-2</v>
      </c>
      <c r="AP20">
        <v>81</v>
      </c>
      <c r="AQ20">
        <v>67</v>
      </c>
      <c r="AR20">
        <v>80</v>
      </c>
      <c r="AS20">
        <v>81</v>
      </c>
      <c r="AT20">
        <v>67</v>
      </c>
      <c r="AU20">
        <v>67</v>
      </c>
      <c r="AV20">
        <v>88</v>
      </c>
      <c r="AW20">
        <f t="shared" si="18"/>
        <v>75.86</v>
      </c>
      <c r="AX20" s="1">
        <f t="shared" ref="AX20:AX53" si="32">IF(AW20="","",1/AW20)</f>
        <v>1.3182177695755339E-2</v>
      </c>
      <c r="AY20" s="14">
        <f t="shared" si="29"/>
        <v>1.1062246514059815E-2</v>
      </c>
      <c r="AZ20">
        <v>81</v>
      </c>
      <c r="BA20">
        <v>67</v>
      </c>
      <c r="BB20">
        <v>80</v>
      </c>
      <c r="BC20">
        <v>81</v>
      </c>
      <c r="BD20">
        <v>67</v>
      </c>
      <c r="BE20">
        <v>67</v>
      </c>
      <c r="BF20">
        <v>98</v>
      </c>
      <c r="BG20">
        <f t="shared" si="20"/>
        <v>77.290000000000006</v>
      </c>
      <c r="BH20" s="1">
        <f t="shared" ref="BH20:BH53" si="33">IF(BG20="","",1/BG20)</f>
        <v>1.2938284383490747E-2</v>
      </c>
      <c r="BI20" s="14">
        <f t="shared" si="22"/>
        <v>1.0855475345698402E-2</v>
      </c>
      <c r="BJ20">
        <v>81</v>
      </c>
      <c r="BK20">
        <v>67</v>
      </c>
      <c r="BL20">
        <v>80</v>
      </c>
      <c r="BM20">
        <v>81</v>
      </c>
      <c r="BN20">
        <v>67</v>
      </c>
      <c r="BO20">
        <v>67</v>
      </c>
      <c r="BP20">
        <v>108</v>
      </c>
      <c r="BQ20">
        <f t="shared" si="23"/>
        <v>78.709999999999994</v>
      </c>
      <c r="BR20" s="1">
        <f t="shared" ref="BR20:BR53" si="34">IF(BQ20="","",1/BQ20)</f>
        <v>1.2704865963664084E-2</v>
      </c>
      <c r="BS20" s="14">
        <f t="shared" si="25"/>
        <v>1.0605464383504055E-2</v>
      </c>
      <c r="BT20">
        <v>81</v>
      </c>
      <c r="BU20">
        <v>67</v>
      </c>
      <c r="BV20">
        <v>80</v>
      </c>
      <c r="BW20">
        <v>81</v>
      </c>
      <c r="BX20">
        <v>67</v>
      </c>
      <c r="BY20">
        <v>67</v>
      </c>
      <c r="BZ20">
        <v>93</v>
      </c>
      <c r="CA20">
        <f t="shared" si="26"/>
        <v>76.569999999999993</v>
      </c>
      <c r="CB20" s="1">
        <f t="shared" ref="CB20:CB53" si="35">IF(CA20="","",1/CA20)</f>
        <v>1.3059945148230379E-2</v>
      </c>
      <c r="CC20" s="14">
        <f t="shared" si="28"/>
        <v>1.0951825177774925E-2</v>
      </c>
    </row>
    <row r="21" spans="1:81" x14ac:dyDescent="0.3">
      <c r="A21" s="5" t="s">
        <v>16</v>
      </c>
      <c r="B21">
        <v>101</v>
      </c>
      <c r="C21">
        <v>67</v>
      </c>
      <c r="D21">
        <v>65</v>
      </c>
      <c r="E21">
        <f t="shared" si="1"/>
        <v>77.67</v>
      </c>
      <c r="F21" s="1">
        <f t="shared" si="2"/>
        <v>1.2874983906270118E-2</v>
      </c>
      <c r="G21" s="14">
        <f t="shared" si="0"/>
        <v>1.1113541449553125E-2</v>
      </c>
      <c r="H21">
        <v>101</v>
      </c>
      <c r="I21">
        <v>67</v>
      </c>
      <c r="J21">
        <v>75</v>
      </c>
      <c r="K21">
        <f t="shared" si="3"/>
        <v>81</v>
      </c>
      <c r="L21" s="1">
        <f t="shared" si="4"/>
        <v>1.2345679012345678E-2</v>
      </c>
      <c r="M21" s="14">
        <f t="shared" si="5"/>
        <v>1.0467317172978699E-2</v>
      </c>
      <c r="N21">
        <v>81</v>
      </c>
      <c r="O21">
        <v>67</v>
      </c>
      <c r="P21">
        <v>85</v>
      </c>
      <c r="Q21">
        <f t="shared" si="6"/>
        <v>77.67</v>
      </c>
      <c r="R21" s="1">
        <f t="shared" si="7"/>
        <v>1.2874983906270118E-2</v>
      </c>
      <c r="S21" s="14">
        <f t="shared" si="8"/>
        <v>1.0735413805730227E-2</v>
      </c>
      <c r="T21">
        <v>81</v>
      </c>
      <c r="U21">
        <v>67</v>
      </c>
      <c r="V21">
        <v>85</v>
      </c>
      <c r="W21">
        <f t="shared" si="9"/>
        <v>77.67</v>
      </c>
      <c r="X21" s="1">
        <f t="shared" si="10"/>
        <v>1.2874983906270118E-2</v>
      </c>
      <c r="Y21" s="14">
        <f t="shared" si="11"/>
        <v>1.0735413805730227E-2</v>
      </c>
      <c r="Z21">
        <v>81</v>
      </c>
      <c r="AA21">
        <v>67</v>
      </c>
      <c r="AB21">
        <v>85</v>
      </c>
      <c r="AC21">
        <f t="shared" si="12"/>
        <v>77.67</v>
      </c>
      <c r="AD21" s="1">
        <f t="shared" si="30"/>
        <v>1.2874983906270118E-2</v>
      </c>
      <c r="AE21" s="14">
        <f t="shared" si="14"/>
        <v>1.072710442335229E-2</v>
      </c>
      <c r="AF21">
        <v>81</v>
      </c>
      <c r="AG21">
        <v>67</v>
      </c>
      <c r="AH21">
        <v>80</v>
      </c>
      <c r="AI21">
        <v>81</v>
      </c>
      <c r="AJ21">
        <v>67</v>
      </c>
      <c r="AK21">
        <v>81</v>
      </c>
      <c r="AL21">
        <v>108</v>
      </c>
      <c r="AM21">
        <f t="shared" si="15"/>
        <v>80.709999999999994</v>
      </c>
      <c r="AN21" s="1">
        <f t="shared" si="31"/>
        <v>1.2390038409119069E-2</v>
      </c>
      <c r="AO21" s="14">
        <f t="shared" si="17"/>
        <v>1.0414778412458336E-2</v>
      </c>
      <c r="AP21">
        <v>81</v>
      </c>
      <c r="AQ21">
        <v>67</v>
      </c>
      <c r="AR21">
        <v>80</v>
      </c>
      <c r="AS21">
        <v>81</v>
      </c>
      <c r="AT21">
        <v>67</v>
      </c>
      <c r="AU21">
        <v>81</v>
      </c>
      <c r="AV21">
        <v>108</v>
      </c>
      <c r="AW21">
        <f t="shared" si="18"/>
        <v>80.709999999999994</v>
      </c>
      <c r="AX21" s="1">
        <f t="shared" si="32"/>
        <v>1.2390038409119069E-2</v>
      </c>
      <c r="AY21" s="14">
        <f t="shared" si="29"/>
        <v>1.0397497466938145E-2</v>
      </c>
      <c r="AZ21">
        <v>81</v>
      </c>
      <c r="BA21">
        <v>67</v>
      </c>
      <c r="BB21">
        <v>85</v>
      </c>
      <c r="BC21">
        <v>81</v>
      </c>
      <c r="BD21">
        <v>67</v>
      </c>
      <c r="BE21">
        <v>81</v>
      </c>
      <c r="BF21">
        <v>118</v>
      </c>
      <c r="BG21">
        <f t="shared" si="20"/>
        <v>82.86</v>
      </c>
      <c r="BH21" s="1">
        <f t="shared" si="33"/>
        <v>1.2068549360366883E-2</v>
      </c>
      <c r="BI21" s="14">
        <f t="shared" si="22"/>
        <v>1.0125750536676678E-2</v>
      </c>
      <c r="BJ21">
        <v>81</v>
      </c>
      <c r="BK21">
        <v>67</v>
      </c>
      <c r="BL21">
        <v>85</v>
      </c>
      <c r="BM21">
        <v>81</v>
      </c>
      <c r="BN21">
        <v>67</v>
      </c>
      <c r="BO21">
        <v>81</v>
      </c>
      <c r="BP21">
        <v>118</v>
      </c>
      <c r="BQ21">
        <f t="shared" si="23"/>
        <v>82.86</v>
      </c>
      <c r="BR21" s="1">
        <f t="shared" si="34"/>
        <v>1.2068549360366883E-2</v>
      </c>
      <c r="BS21" s="14">
        <f t="shared" si="25"/>
        <v>1.0074295216336038E-2</v>
      </c>
      <c r="BT21">
        <v>81</v>
      </c>
      <c r="BU21">
        <v>67</v>
      </c>
      <c r="BV21">
        <v>85</v>
      </c>
      <c r="BW21">
        <v>81</v>
      </c>
      <c r="BX21">
        <v>67</v>
      </c>
      <c r="BY21">
        <v>81</v>
      </c>
      <c r="BZ21">
        <v>137</v>
      </c>
      <c r="CA21">
        <f t="shared" si="26"/>
        <v>85.57</v>
      </c>
      <c r="CB21" s="1">
        <f t="shared" si="35"/>
        <v>1.168633867009466E-2</v>
      </c>
      <c r="CC21" s="14">
        <f t="shared" si="28"/>
        <v>9.7999445350265973E-3</v>
      </c>
    </row>
    <row r="22" spans="1:81" x14ac:dyDescent="0.3">
      <c r="A22" s="5" t="s">
        <v>27</v>
      </c>
      <c r="B22">
        <v>101</v>
      </c>
      <c r="C22">
        <v>81</v>
      </c>
      <c r="D22">
        <v>95</v>
      </c>
      <c r="E22">
        <f t="shared" si="1"/>
        <v>92.33</v>
      </c>
      <c r="F22" s="1">
        <f t="shared" si="2"/>
        <v>1.0830715910321672E-2</v>
      </c>
      <c r="G22" s="14">
        <f t="shared" si="0"/>
        <v>9.3489522840549243E-3</v>
      </c>
      <c r="H22">
        <v>67</v>
      </c>
      <c r="I22">
        <v>81</v>
      </c>
      <c r="J22">
        <v>90</v>
      </c>
      <c r="K22">
        <f t="shared" si="3"/>
        <v>79.33</v>
      </c>
      <c r="L22" s="1">
        <f t="shared" si="4"/>
        <v>1.2605571662674902E-2</v>
      </c>
      <c r="M22" s="14">
        <f t="shared" si="5"/>
        <v>1.0687667855934386E-2</v>
      </c>
      <c r="N22">
        <v>51</v>
      </c>
      <c r="O22">
        <v>51</v>
      </c>
      <c r="P22">
        <v>55</v>
      </c>
      <c r="Q22">
        <f t="shared" si="6"/>
        <v>52.33</v>
      </c>
      <c r="R22" s="1">
        <f t="shared" si="7"/>
        <v>1.910949742021785E-2</v>
      </c>
      <c r="S22" s="14">
        <f t="shared" si="8"/>
        <v>1.5933873309594244E-2</v>
      </c>
      <c r="T22">
        <v>51</v>
      </c>
      <c r="U22">
        <v>51</v>
      </c>
      <c r="V22">
        <v>55</v>
      </c>
      <c r="W22">
        <f t="shared" si="9"/>
        <v>52.33</v>
      </c>
      <c r="X22" s="1">
        <f t="shared" si="10"/>
        <v>1.910949742021785E-2</v>
      </c>
      <c r="Y22" s="14">
        <f t="shared" si="11"/>
        <v>1.5933873309594244E-2</v>
      </c>
      <c r="Z22">
        <v>51</v>
      </c>
      <c r="AA22">
        <v>51</v>
      </c>
      <c r="AB22">
        <v>55</v>
      </c>
      <c r="AC22">
        <f t="shared" si="12"/>
        <v>52.33</v>
      </c>
      <c r="AD22" s="1">
        <f t="shared" si="30"/>
        <v>1.910949742021785E-2</v>
      </c>
      <c r="AE22" s="14">
        <f t="shared" si="14"/>
        <v>1.5921540236227258E-2</v>
      </c>
      <c r="AF22">
        <v>51</v>
      </c>
      <c r="AG22">
        <v>51</v>
      </c>
      <c r="AH22">
        <v>50</v>
      </c>
      <c r="AI22">
        <v>51</v>
      </c>
      <c r="AJ22">
        <v>51</v>
      </c>
      <c r="AK22">
        <v>51</v>
      </c>
      <c r="AL22">
        <v>54</v>
      </c>
      <c r="AM22">
        <f t="shared" si="15"/>
        <v>51.29</v>
      </c>
      <c r="AN22" s="1">
        <f t="shared" si="31"/>
        <v>1.9496977968414896E-2</v>
      </c>
      <c r="AO22" s="14">
        <f t="shared" si="17"/>
        <v>1.6388706681019931E-2</v>
      </c>
      <c r="AP22">
        <v>51</v>
      </c>
      <c r="AQ22">
        <v>51</v>
      </c>
      <c r="AR22">
        <v>55</v>
      </c>
      <c r="AS22">
        <v>51</v>
      </c>
      <c r="AT22">
        <v>51</v>
      </c>
      <c r="AU22">
        <v>51</v>
      </c>
      <c r="AV22">
        <v>54</v>
      </c>
      <c r="AW22">
        <f t="shared" si="18"/>
        <v>52</v>
      </c>
      <c r="AX22" s="1">
        <f t="shared" si="32"/>
        <v>1.9230769230769232E-2</v>
      </c>
      <c r="AY22" s="14">
        <f t="shared" si="29"/>
        <v>1.6138115779934185E-2</v>
      </c>
      <c r="AZ22">
        <v>51</v>
      </c>
      <c r="BA22">
        <v>51</v>
      </c>
      <c r="BB22">
        <v>55</v>
      </c>
      <c r="BC22">
        <v>51</v>
      </c>
      <c r="BD22">
        <v>51</v>
      </c>
      <c r="BE22">
        <v>51</v>
      </c>
      <c r="BF22">
        <v>59</v>
      </c>
      <c r="BG22">
        <f t="shared" si="20"/>
        <v>52.71</v>
      </c>
      <c r="BH22" s="1">
        <f t="shared" si="33"/>
        <v>1.8971732119142479E-2</v>
      </c>
      <c r="BI22" s="14">
        <f t="shared" si="22"/>
        <v>1.5917656791292537E-2</v>
      </c>
      <c r="BJ22">
        <v>51</v>
      </c>
      <c r="BK22">
        <v>51</v>
      </c>
      <c r="BL22">
        <v>55</v>
      </c>
      <c r="BM22">
        <v>51</v>
      </c>
      <c r="BN22">
        <v>51</v>
      </c>
      <c r="BO22">
        <v>51</v>
      </c>
      <c r="BP22">
        <v>64</v>
      </c>
      <c r="BQ22">
        <f t="shared" si="23"/>
        <v>53.43</v>
      </c>
      <c r="BR22" s="1">
        <f t="shared" si="34"/>
        <v>1.8716077110237695E-2</v>
      </c>
      <c r="BS22" s="14">
        <f t="shared" si="25"/>
        <v>1.562335956626622E-2</v>
      </c>
      <c r="BT22">
        <v>51</v>
      </c>
      <c r="BU22">
        <v>51</v>
      </c>
      <c r="BV22">
        <v>55</v>
      </c>
      <c r="BW22">
        <v>51</v>
      </c>
      <c r="BX22">
        <v>51</v>
      </c>
      <c r="BY22">
        <v>51</v>
      </c>
      <c r="BZ22">
        <v>59</v>
      </c>
      <c r="CA22">
        <f t="shared" si="26"/>
        <v>52.71</v>
      </c>
      <c r="CB22" s="1">
        <f t="shared" si="35"/>
        <v>1.8971732119142479E-2</v>
      </c>
      <c r="CC22" s="14">
        <f t="shared" si="28"/>
        <v>1.5909338908408763E-2</v>
      </c>
    </row>
    <row r="23" spans="1:81" x14ac:dyDescent="0.3">
      <c r="A23" s="5" t="s">
        <v>19</v>
      </c>
      <c r="B23">
        <v>101</v>
      </c>
      <c r="C23">
        <v>81</v>
      </c>
      <c r="D23">
        <v>95</v>
      </c>
      <c r="E23">
        <f t="shared" si="1"/>
        <v>92.33</v>
      </c>
      <c r="F23" s="1">
        <f t="shared" si="2"/>
        <v>1.0830715910321672E-2</v>
      </c>
      <c r="G23" s="14">
        <f t="shared" si="0"/>
        <v>9.3489522840549243E-3</v>
      </c>
      <c r="H23">
        <v>67</v>
      </c>
      <c r="I23">
        <v>81</v>
      </c>
      <c r="J23">
        <v>95</v>
      </c>
      <c r="K23">
        <f t="shared" si="3"/>
        <v>81</v>
      </c>
      <c r="L23" s="1">
        <f t="shared" si="4"/>
        <v>1.2345679012345678E-2</v>
      </c>
      <c r="M23" s="14">
        <f t="shared" si="5"/>
        <v>1.0467317172978699E-2</v>
      </c>
      <c r="N23">
        <v>81</v>
      </c>
      <c r="O23">
        <v>67</v>
      </c>
      <c r="P23">
        <v>80</v>
      </c>
      <c r="Q23">
        <f t="shared" si="6"/>
        <v>76</v>
      </c>
      <c r="R23" s="1">
        <f t="shared" si="7"/>
        <v>1.3157894736842105E-2</v>
      </c>
      <c r="S23" s="14">
        <f t="shared" si="8"/>
        <v>1.0971310398566666E-2</v>
      </c>
      <c r="T23">
        <v>81</v>
      </c>
      <c r="U23">
        <v>67</v>
      </c>
      <c r="V23">
        <v>80</v>
      </c>
      <c r="W23">
        <f t="shared" si="9"/>
        <v>76</v>
      </c>
      <c r="X23" s="1">
        <f t="shared" si="10"/>
        <v>1.3157894736842105E-2</v>
      </c>
      <c r="Y23" s="14">
        <f t="shared" si="11"/>
        <v>1.0971310398566666E-2</v>
      </c>
      <c r="Z23">
        <v>81</v>
      </c>
      <c r="AA23">
        <v>67</v>
      </c>
      <c r="AB23">
        <v>80</v>
      </c>
      <c r="AC23">
        <f t="shared" si="12"/>
        <v>76</v>
      </c>
      <c r="AD23" s="1">
        <f t="shared" si="30"/>
        <v>1.3157894736842105E-2</v>
      </c>
      <c r="AE23" s="14">
        <f t="shared" si="14"/>
        <v>1.0962818428444373E-2</v>
      </c>
      <c r="AF23">
        <v>81</v>
      </c>
      <c r="AG23">
        <v>67</v>
      </c>
      <c r="AH23">
        <v>80</v>
      </c>
      <c r="AI23">
        <v>81</v>
      </c>
      <c r="AJ23">
        <v>67</v>
      </c>
      <c r="AK23">
        <v>41</v>
      </c>
      <c r="AL23">
        <v>108</v>
      </c>
      <c r="AM23">
        <f t="shared" si="15"/>
        <v>75</v>
      </c>
      <c r="AN23" s="1">
        <f t="shared" si="31"/>
        <v>1.3333333333333334E-2</v>
      </c>
      <c r="AO23" s="14">
        <f t="shared" si="17"/>
        <v>1.120769020892683E-2</v>
      </c>
      <c r="AP23">
        <v>81</v>
      </c>
      <c r="AQ23">
        <v>67</v>
      </c>
      <c r="AR23">
        <v>80</v>
      </c>
      <c r="AS23">
        <v>81</v>
      </c>
      <c r="AT23">
        <v>67</v>
      </c>
      <c r="AU23">
        <v>41</v>
      </c>
      <c r="AV23">
        <v>108</v>
      </c>
      <c r="AW23">
        <f t="shared" si="18"/>
        <v>75</v>
      </c>
      <c r="AX23" s="1">
        <f t="shared" si="32"/>
        <v>1.3333333333333334E-2</v>
      </c>
      <c r="AY23" s="14">
        <f t="shared" si="29"/>
        <v>1.1189093607421036E-2</v>
      </c>
      <c r="AZ23">
        <v>81</v>
      </c>
      <c r="BA23">
        <v>67</v>
      </c>
      <c r="BB23">
        <v>80</v>
      </c>
      <c r="BC23">
        <v>81</v>
      </c>
      <c r="BD23">
        <v>67</v>
      </c>
      <c r="BE23">
        <v>41</v>
      </c>
      <c r="BF23">
        <v>98</v>
      </c>
      <c r="BG23">
        <f t="shared" si="20"/>
        <v>73.569999999999993</v>
      </c>
      <c r="BH23" s="1">
        <f t="shared" si="33"/>
        <v>1.359249694168819E-2</v>
      </c>
      <c r="BI23" s="14">
        <f t="shared" si="22"/>
        <v>1.140437256312396E-2</v>
      </c>
      <c r="BJ23">
        <v>81</v>
      </c>
      <c r="BK23">
        <v>67</v>
      </c>
      <c r="BL23">
        <v>85</v>
      </c>
      <c r="BM23">
        <v>81</v>
      </c>
      <c r="BN23">
        <v>67</v>
      </c>
      <c r="BO23">
        <v>41</v>
      </c>
      <c r="BP23">
        <v>98</v>
      </c>
      <c r="BQ23">
        <f t="shared" si="23"/>
        <v>74.290000000000006</v>
      </c>
      <c r="BR23" s="1">
        <f t="shared" si="34"/>
        <v>1.3460761879122356E-2</v>
      </c>
      <c r="BS23" s="14">
        <f t="shared" si="25"/>
        <v>1.1236453111126719E-2</v>
      </c>
      <c r="BT23">
        <v>81</v>
      </c>
      <c r="BU23">
        <v>67</v>
      </c>
      <c r="BV23">
        <v>80</v>
      </c>
      <c r="BW23">
        <v>81</v>
      </c>
      <c r="BX23">
        <v>67</v>
      </c>
      <c r="BY23">
        <v>41</v>
      </c>
      <c r="BZ23">
        <v>98</v>
      </c>
      <c r="CA23">
        <f t="shared" si="26"/>
        <v>73.569999999999993</v>
      </c>
      <c r="CB23" s="1">
        <f t="shared" si="35"/>
        <v>1.359249694168819E-2</v>
      </c>
      <c r="CC23" s="14">
        <f t="shared" si="28"/>
        <v>1.1398413128479352E-2</v>
      </c>
    </row>
    <row r="24" spans="1:81" x14ac:dyDescent="0.3">
      <c r="A24" s="5" t="s">
        <v>26</v>
      </c>
      <c r="B24">
        <v>101</v>
      </c>
      <c r="C24">
        <v>67</v>
      </c>
      <c r="D24">
        <v>90</v>
      </c>
      <c r="E24">
        <f t="shared" si="1"/>
        <v>86</v>
      </c>
      <c r="F24" s="1">
        <f t="shared" si="2"/>
        <v>1.1627906976744186E-2</v>
      </c>
      <c r="G24" s="14">
        <f t="shared" si="0"/>
        <v>1.0037078655660362E-2</v>
      </c>
      <c r="H24">
        <v>101</v>
      </c>
      <c r="I24">
        <v>67</v>
      </c>
      <c r="J24">
        <v>80</v>
      </c>
      <c r="K24">
        <f t="shared" si="3"/>
        <v>82.67</v>
      </c>
      <c r="L24" s="1">
        <f t="shared" si="4"/>
        <v>1.2096286440062901E-2</v>
      </c>
      <c r="M24" s="14">
        <f t="shared" si="5"/>
        <v>1.0255869009450523E-2</v>
      </c>
      <c r="N24">
        <v>101</v>
      </c>
      <c r="O24">
        <v>67</v>
      </c>
      <c r="P24">
        <v>75</v>
      </c>
      <c r="Q24">
        <f t="shared" si="6"/>
        <v>81</v>
      </c>
      <c r="R24" s="1">
        <f t="shared" si="7"/>
        <v>1.2345679012345678E-2</v>
      </c>
      <c r="S24" s="14">
        <f t="shared" si="8"/>
        <v>1.0294069015939093E-2</v>
      </c>
      <c r="T24">
        <v>101</v>
      </c>
      <c r="U24">
        <v>67</v>
      </c>
      <c r="V24">
        <v>80</v>
      </c>
      <c r="W24">
        <f t="shared" si="9"/>
        <v>82.67</v>
      </c>
      <c r="X24" s="1">
        <f t="shared" si="10"/>
        <v>1.2096286440062901E-2</v>
      </c>
      <c r="Y24" s="14">
        <f t="shared" si="11"/>
        <v>1.0086120603496633E-2</v>
      </c>
      <c r="Z24">
        <v>101</v>
      </c>
      <c r="AA24">
        <v>67</v>
      </c>
      <c r="AB24">
        <v>80</v>
      </c>
      <c r="AC24">
        <f t="shared" si="12"/>
        <v>82.67</v>
      </c>
      <c r="AD24" s="1">
        <f t="shared" si="30"/>
        <v>1.2096286440062901E-2</v>
      </c>
      <c r="AE24" s="14">
        <f t="shared" si="14"/>
        <v>1.0078313784465614E-2</v>
      </c>
      <c r="AF24">
        <v>101</v>
      </c>
      <c r="AG24">
        <v>67</v>
      </c>
      <c r="AH24">
        <v>80</v>
      </c>
      <c r="AI24">
        <v>76</v>
      </c>
      <c r="AJ24">
        <v>67</v>
      </c>
      <c r="AK24">
        <v>81</v>
      </c>
      <c r="AL24">
        <v>108</v>
      </c>
      <c r="AM24">
        <f t="shared" si="15"/>
        <v>82.86</v>
      </c>
      <c r="AN24" s="1">
        <f t="shared" si="31"/>
        <v>1.2068549360366883E-2</v>
      </c>
      <c r="AO24" s="14">
        <f t="shared" si="17"/>
        <v>1.0144542187660055E-2</v>
      </c>
      <c r="AP24">
        <v>101</v>
      </c>
      <c r="AQ24">
        <v>67</v>
      </c>
      <c r="AR24">
        <v>80</v>
      </c>
      <c r="AS24">
        <v>81</v>
      </c>
      <c r="AT24">
        <v>67</v>
      </c>
      <c r="AU24">
        <v>81</v>
      </c>
      <c r="AV24">
        <v>108</v>
      </c>
      <c r="AW24">
        <f t="shared" si="18"/>
        <v>83.57</v>
      </c>
      <c r="AX24" s="1">
        <f t="shared" si="32"/>
        <v>1.1966016513102789E-2</v>
      </c>
      <c r="AY24" s="14">
        <f t="shared" si="29"/>
        <v>1.0041665915478972E-2</v>
      </c>
      <c r="AZ24">
        <v>101</v>
      </c>
      <c r="BA24">
        <v>67</v>
      </c>
      <c r="BB24">
        <v>80</v>
      </c>
      <c r="BC24">
        <v>81</v>
      </c>
      <c r="BD24">
        <v>67</v>
      </c>
      <c r="BE24">
        <v>81</v>
      </c>
      <c r="BF24">
        <v>98</v>
      </c>
      <c r="BG24">
        <f t="shared" si="20"/>
        <v>82.14</v>
      </c>
      <c r="BH24" s="1">
        <f t="shared" si="33"/>
        <v>1.2174336498660824E-2</v>
      </c>
      <c r="BI24" s="14">
        <f t="shared" si="22"/>
        <v>1.0214508028597876E-2</v>
      </c>
      <c r="BJ24">
        <v>101</v>
      </c>
      <c r="BK24">
        <v>67</v>
      </c>
      <c r="BL24">
        <v>80</v>
      </c>
      <c r="BM24">
        <v>81</v>
      </c>
      <c r="BN24">
        <v>67</v>
      </c>
      <c r="BO24">
        <v>81</v>
      </c>
      <c r="BP24">
        <v>98</v>
      </c>
      <c r="BQ24">
        <f t="shared" si="23"/>
        <v>82.14</v>
      </c>
      <c r="BR24" s="1">
        <f t="shared" si="34"/>
        <v>1.2174336498660824E-2</v>
      </c>
      <c r="BS24" s="14">
        <f t="shared" si="25"/>
        <v>1.0162601675500416E-2</v>
      </c>
      <c r="BT24">
        <v>101</v>
      </c>
      <c r="BU24">
        <v>67</v>
      </c>
      <c r="BV24">
        <v>80</v>
      </c>
      <c r="BW24">
        <v>81</v>
      </c>
      <c r="BX24">
        <v>67</v>
      </c>
      <c r="BY24">
        <v>81</v>
      </c>
      <c r="BZ24">
        <v>98</v>
      </c>
      <c r="CA24">
        <f t="shared" si="26"/>
        <v>82.14</v>
      </c>
      <c r="CB24" s="1">
        <f t="shared" si="35"/>
        <v>1.2174336498660824E-2</v>
      </c>
      <c r="CC24" s="14">
        <f t="shared" si="28"/>
        <v>1.0209170365987653E-2</v>
      </c>
    </row>
    <row r="25" spans="1:81" x14ac:dyDescent="0.3">
      <c r="A25" s="5" t="s">
        <v>18</v>
      </c>
      <c r="B25">
        <v>101</v>
      </c>
      <c r="C25">
        <v>101</v>
      </c>
      <c r="D25">
        <v>140</v>
      </c>
      <c r="E25">
        <f t="shared" si="1"/>
        <v>114</v>
      </c>
      <c r="F25" s="1">
        <f t="shared" si="2"/>
        <v>8.771929824561403E-3</v>
      </c>
      <c r="G25" s="14">
        <f t="shared" si="0"/>
        <v>7.571831266550799E-3</v>
      </c>
      <c r="H25">
        <v>101</v>
      </c>
      <c r="I25">
        <v>101</v>
      </c>
      <c r="J25">
        <v>130</v>
      </c>
      <c r="K25">
        <f t="shared" si="3"/>
        <v>110.67</v>
      </c>
      <c r="L25" s="1">
        <f t="shared" si="4"/>
        <v>9.0358724134815219E-3</v>
      </c>
      <c r="M25" s="14">
        <f t="shared" si="5"/>
        <v>7.6610887414048506E-3</v>
      </c>
      <c r="N25">
        <v>126</v>
      </c>
      <c r="O25">
        <v>67</v>
      </c>
      <c r="P25">
        <v>120</v>
      </c>
      <c r="Q25">
        <f t="shared" si="6"/>
        <v>104.33</v>
      </c>
      <c r="R25" s="1">
        <f t="shared" si="7"/>
        <v>9.5849707658391646E-3</v>
      </c>
      <c r="S25" s="14">
        <f t="shared" si="8"/>
        <v>7.9921363969238639E-3</v>
      </c>
      <c r="T25">
        <v>126</v>
      </c>
      <c r="U25">
        <v>67</v>
      </c>
      <c r="V25">
        <v>120</v>
      </c>
      <c r="W25">
        <f t="shared" si="9"/>
        <v>104.33</v>
      </c>
      <c r="X25" s="1">
        <f t="shared" si="10"/>
        <v>9.5849707658391646E-3</v>
      </c>
      <c r="Y25" s="14">
        <f t="shared" si="11"/>
        <v>7.9921363969238639E-3</v>
      </c>
      <c r="Z25">
        <v>126</v>
      </c>
      <c r="AA25">
        <v>67</v>
      </c>
      <c r="AB25">
        <v>120</v>
      </c>
      <c r="AC25">
        <f t="shared" si="12"/>
        <v>104.33</v>
      </c>
      <c r="AD25" s="1">
        <f t="shared" si="30"/>
        <v>9.5849707658391646E-3</v>
      </c>
      <c r="AE25" s="14">
        <f t="shared" si="14"/>
        <v>7.9859503552360059E-3</v>
      </c>
      <c r="AF25">
        <v>126</v>
      </c>
      <c r="AG25">
        <v>67</v>
      </c>
      <c r="AH25">
        <v>120</v>
      </c>
      <c r="AI25">
        <v>121</v>
      </c>
      <c r="AJ25">
        <v>67</v>
      </c>
      <c r="AK25">
        <v>81</v>
      </c>
      <c r="AL25">
        <v>98</v>
      </c>
      <c r="AM25">
        <f t="shared" si="15"/>
        <v>97.14</v>
      </c>
      <c r="AN25" s="1">
        <f t="shared" si="31"/>
        <v>1.0294420424130122E-2</v>
      </c>
      <c r="AO25" s="14">
        <f t="shared" si="17"/>
        <v>8.653250624557466E-3</v>
      </c>
      <c r="AP25">
        <v>101</v>
      </c>
      <c r="AQ25">
        <v>67</v>
      </c>
      <c r="AR25">
        <v>85</v>
      </c>
      <c r="AS25">
        <v>91</v>
      </c>
      <c r="AT25">
        <v>67</v>
      </c>
      <c r="AU25">
        <v>81</v>
      </c>
      <c r="AV25">
        <v>98</v>
      </c>
      <c r="AW25">
        <f t="shared" si="18"/>
        <v>84.29</v>
      </c>
      <c r="AX25" s="1">
        <f t="shared" si="32"/>
        <v>1.1863803535413452E-2</v>
      </c>
      <c r="AY25" s="14">
        <f t="shared" si="29"/>
        <v>9.9558906223345296E-3</v>
      </c>
      <c r="AZ25">
        <v>101</v>
      </c>
      <c r="BA25">
        <v>67</v>
      </c>
      <c r="BB25">
        <v>85</v>
      </c>
      <c r="BC25">
        <v>91</v>
      </c>
      <c r="BD25">
        <v>67</v>
      </c>
      <c r="BE25">
        <v>81</v>
      </c>
      <c r="BF25">
        <v>98</v>
      </c>
      <c r="BG25">
        <f t="shared" si="20"/>
        <v>84.29</v>
      </c>
      <c r="BH25" s="1">
        <f t="shared" si="33"/>
        <v>1.1863803535413452E-2</v>
      </c>
      <c r="BI25" s="14">
        <f t="shared" si="22"/>
        <v>9.9539647582041705E-3</v>
      </c>
      <c r="BJ25">
        <v>101</v>
      </c>
      <c r="BK25">
        <v>67</v>
      </c>
      <c r="BL25">
        <v>85</v>
      </c>
      <c r="BM25">
        <v>81</v>
      </c>
      <c r="BN25">
        <v>67</v>
      </c>
      <c r="BO25">
        <v>81</v>
      </c>
      <c r="BP25">
        <v>137</v>
      </c>
      <c r="BQ25">
        <f t="shared" si="23"/>
        <v>88.43</v>
      </c>
      <c r="BR25" s="1">
        <f t="shared" si="34"/>
        <v>1.1308379509216329E-2</v>
      </c>
      <c r="BS25" s="14">
        <f t="shared" si="25"/>
        <v>9.4397387948162853E-3</v>
      </c>
      <c r="BT25">
        <v>101</v>
      </c>
      <c r="BU25">
        <v>67</v>
      </c>
      <c r="BV25">
        <v>80</v>
      </c>
      <c r="BW25">
        <v>91</v>
      </c>
      <c r="BX25">
        <v>67</v>
      </c>
      <c r="BY25">
        <v>81</v>
      </c>
      <c r="BZ25">
        <v>147</v>
      </c>
      <c r="CA25">
        <f t="shared" si="26"/>
        <v>90.57</v>
      </c>
      <c r="CB25" s="1">
        <f t="shared" si="35"/>
        <v>1.1041183614883517E-2</v>
      </c>
      <c r="CC25" s="14">
        <f t="shared" si="28"/>
        <v>9.258929599892083E-3</v>
      </c>
    </row>
    <row r="26" spans="1:81" x14ac:dyDescent="0.3">
      <c r="A26" s="5" t="s">
        <v>50</v>
      </c>
      <c r="B26">
        <v>151</v>
      </c>
      <c r="C26">
        <v>151</v>
      </c>
      <c r="D26">
        <v>150</v>
      </c>
      <c r="E26">
        <f t="shared" si="1"/>
        <v>150.66999999999999</v>
      </c>
      <c r="F26" s="1">
        <f t="shared" si="2"/>
        <v>6.6370213048383888E-3</v>
      </c>
      <c r="G26" s="14">
        <f t="shared" si="0"/>
        <v>5.7290022193322567E-3</v>
      </c>
      <c r="H26">
        <v>151</v>
      </c>
      <c r="I26">
        <v>151</v>
      </c>
      <c r="J26">
        <v>150</v>
      </c>
      <c r="K26">
        <f t="shared" si="3"/>
        <v>150.66999999999999</v>
      </c>
      <c r="L26" s="1">
        <f t="shared" si="4"/>
        <v>6.6370213048383888E-3</v>
      </c>
      <c r="M26" s="14">
        <f t="shared" si="5"/>
        <v>5.6272163736063897E-3</v>
      </c>
      <c r="N26">
        <v>151</v>
      </c>
      <c r="O26">
        <v>101</v>
      </c>
      <c r="P26">
        <v>150</v>
      </c>
      <c r="Q26">
        <f t="shared" si="6"/>
        <v>134</v>
      </c>
      <c r="R26" s="1">
        <f t="shared" si="7"/>
        <v>7.462686567164179E-3</v>
      </c>
      <c r="S26" s="14">
        <f t="shared" si="8"/>
        <v>6.2225342559034825E-3</v>
      </c>
      <c r="T26">
        <v>151</v>
      </c>
      <c r="U26">
        <v>101</v>
      </c>
      <c r="V26">
        <v>150</v>
      </c>
      <c r="W26">
        <f t="shared" si="9"/>
        <v>134</v>
      </c>
      <c r="X26" s="1">
        <f t="shared" si="10"/>
        <v>7.462686567164179E-3</v>
      </c>
      <c r="Y26" s="14">
        <f t="shared" si="11"/>
        <v>6.2225342559034825E-3</v>
      </c>
      <c r="Z26">
        <v>151</v>
      </c>
      <c r="AA26">
        <v>101</v>
      </c>
      <c r="AB26">
        <v>150</v>
      </c>
      <c r="AC26">
        <f t="shared" si="12"/>
        <v>134</v>
      </c>
      <c r="AD26" s="1">
        <f t="shared" si="30"/>
        <v>7.462686567164179E-3</v>
      </c>
      <c r="AE26" s="14">
        <f t="shared" si="14"/>
        <v>6.2177179146400922E-3</v>
      </c>
      <c r="AF26">
        <v>151</v>
      </c>
      <c r="AG26">
        <v>101</v>
      </c>
      <c r="AH26">
        <v>150</v>
      </c>
      <c r="AI26">
        <v>151</v>
      </c>
      <c r="AJ26">
        <v>101</v>
      </c>
      <c r="AK26">
        <v>101</v>
      </c>
      <c r="AL26">
        <v>176</v>
      </c>
      <c r="AM26">
        <f t="shared" si="15"/>
        <v>133</v>
      </c>
      <c r="AN26" s="1">
        <f t="shared" si="31"/>
        <v>7.5187969924812026E-3</v>
      </c>
      <c r="AO26" s="14">
        <f t="shared" si="17"/>
        <v>6.3201260576655049E-3</v>
      </c>
      <c r="AP26">
        <v>151</v>
      </c>
      <c r="AQ26">
        <v>101</v>
      </c>
      <c r="AR26">
        <v>150</v>
      </c>
      <c r="AS26">
        <v>151</v>
      </c>
      <c r="AT26">
        <v>101</v>
      </c>
      <c r="AU26">
        <v>101</v>
      </c>
      <c r="AV26">
        <v>176</v>
      </c>
      <c r="AW26">
        <f t="shared" si="18"/>
        <v>133</v>
      </c>
      <c r="AX26" s="1">
        <f t="shared" si="32"/>
        <v>7.5187969924812026E-3</v>
      </c>
      <c r="AY26" s="14">
        <f t="shared" si="29"/>
        <v>6.3096392523050949E-3</v>
      </c>
      <c r="AZ26">
        <v>151</v>
      </c>
      <c r="BA26">
        <v>101</v>
      </c>
      <c r="BB26">
        <v>150</v>
      </c>
      <c r="BC26">
        <v>151</v>
      </c>
      <c r="BD26">
        <v>101</v>
      </c>
      <c r="BE26">
        <v>101</v>
      </c>
      <c r="BF26">
        <v>206</v>
      </c>
      <c r="BG26">
        <f t="shared" si="20"/>
        <v>137.29</v>
      </c>
      <c r="BH26" s="1">
        <f t="shared" si="33"/>
        <v>7.2838517007793729E-3</v>
      </c>
      <c r="BI26" s="14">
        <f t="shared" si="22"/>
        <v>6.1112949921263721E-3</v>
      </c>
      <c r="BJ26">
        <v>151</v>
      </c>
      <c r="BK26">
        <v>101</v>
      </c>
      <c r="BL26">
        <v>150</v>
      </c>
      <c r="BM26">
        <v>151</v>
      </c>
      <c r="BN26">
        <v>101</v>
      </c>
      <c r="BO26">
        <v>101</v>
      </c>
      <c r="BP26">
        <v>167</v>
      </c>
      <c r="BQ26">
        <f t="shared" si="23"/>
        <v>131.71</v>
      </c>
      <c r="BR26" s="1">
        <f t="shared" si="34"/>
        <v>7.5924379318199073E-3</v>
      </c>
      <c r="BS26" s="14">
        <f t="shared" si="25"/>
        <v>6.3378338898003499E-3</v>
      </c>
      <c r="BT26">
        <v>151</v>
      </c>
      <c r="BU26">
        <v>101</v>
      </c>
      <c r="BV26">
        <v>150</v>
      </c>
      <c r="BW26">
        <v>151</v>
      </c>
      <c r="BX26">
        <v>101</v>
      </c>
      <c r="BY26">
        <v>101</v>
      </c>
      <c r="BZ26">
        <v>176</v>
      </c>
      <c r="CA26">
        <f t="shared" si="26"/>
        <v>133</v>
      </c>
      <c r="CB26" s="1">
        <f t="shared" si="35"/>
        <v>7.5187969924812026E-3</v>
      </c>
      <c r="CC26" s="14">
        <f t="shared" si="28"/>
        <v>6.3051222094904196E-3</v>
      </c>
    </row>
    <row r="27" spans="1:81" x14ac:dyDescent="0.3">
      <c r="A27" s="5" t="s">
        <v>51</v>
      </c>
      <c r="B27">
        <v>151</v>
      </c>
      <c r="C27">
        <v>151</v>
      </c>
      <c r="D27">
        <v>160</v>
      </c>
      <c r="E27">
        <f t="shared" si="1"/>
        <v>154</v>
      </c>
      <c r="F27" s="1">
        <f t="shared" si="2"/>
        <v>6.4935064935064939E-3</v>
      </c>
      <c r="G27" s="14">
        <f t="shared" si="0"/>
        <v>5.6051218466674751E-3</v>
      </c>
      <c r="H27">
        <v>151</v>
      </c>
      <c r="I27">
        <v>151</v>
      </c>
      <c r="J27">
        <v>160</v>
      </c>
      <c r="K27">
        <f t="shared" si="3"/>
        <v>154</v>
      </c>
      <c r="L27" s="1">
        <f t="shared" si="4"/>
        <v>6.4935064935064939E-3</v>
      </c>
      <c r="M27" s="14">
        <f t="shared" si="5"/>
        <v>5.5055369546186672E-3</v>
      </c>
      <c r="N27">
        <v>151</v>
      </c>
      <c r="O27">
        <v>151</v>
      </c>
      <c r="P27">
        <v>160</v>
      </c>
      <c r="Q27">
        <f t="shared" si="6"/>
        <v>154</v>
      </c>
      <c r="R27" s="1">
        <f t="shared" si="7"/>
        <v>6.4935064935064939E-3</v>
      </c>
      <c r="S27" s="14">
        <f t="shared" si="8"/>
        <v>5.4144129239679659E-3</v>
      </c>
      <c r="T27">
        <v>151</v>
      </c>
      <c r="U27">
        <v>151</v>
      </c>
      <c r="V27">
        <v>160</v>
      </c>
      <c r="W27">
        <f t="shared" si="9"/>
        <v>154</v>
      </c>
      <c r="X27" s="1">
        <f t="shared" si="10"/>
        <v>6.4935064935064939E-3</v>
      </c>
      <c r="Y27" s="14">
        <f t="shared" si="11"/>
        <v>5.4144129239679659E-3</v>
      </c>
      <c r="Z27">
        <v>151</v>
      </c>
      <c r="AA27">
        <v>151</v>
      </c>
      <c r="AB27">
        <v>160</v>
      </c>
      <c r="AC27">
        <f t="shared" si="12"/>
        <v>154</v>
      </c>
      <c r="AD27" s="1">
        <f t="shared" si="30"/>
        <v>6.4935064935064939E-3</v>
      </c>
      <c r="AE27" s="14">
        <f t="shared" si="14"/>
        <v>5.4102220815699506E-3</v>
      </c>
      <c r="AF27">
        <v>151</v>
      </c>
      <c r="AG27">
        <v>151</v>
      </c>
      <c r="AH27">
        <v>150</v>
      </c>
      <c r="AI27">
        <v>151</v>
      </c>
      <c r="AJ27">
        <v>151</v>
      </c>
      <c r="AK27">
        <v>151</v>
      </c>
      <c r="AL27">
        <v>284</v>
      </c>
      <c r="AM27">
        <f t="shared" si="15"/>
        <v>169.86</v>
      </c>
      <c r="AN27" s="1">
        <f t="shared" si="31"/>
        <v>5.8872012245378543E-3</v>
      </c>
      <c r="AO27" s="14">
        <f t="shared" si="17"/>
        <v>4.9486445641676209E-3</v>
      </c>
      <c r="AP27">
        <v>151</v>
      </c>
      <c r="AQ27">
        <v>151</v>
      </c>
      <c r="AR27">
        <v>160</v>
      </c>
      <c r="AS27">
        <v>161</v>
      </c>
      <c r="AT27">
        <v>151</v>
      </c>
      <c r="AU27">
        <v>151</v>
      </c>
      <c r="AV27">
        <v>284</v>
      </c>
      <c r="AW27">
        <f t="shared" si="18"/>
        <v>172.71</v>
      </c>
      <c r="AX27" s="1">
        <f t="shared" si="32"/>
        <v>5.7900526894794739E-3</v>
      </c>
      <c r="AY27" s="14">
        <f t="shared" si="29"/>
        <v>4.8589081150864312E-3</v>
      </c>
      <c r="AZ27">
        <v>151</v>
      </c>
      <c r="BA27">
        <v>151</v>
      </c>
      <c r="BB27">
        <v>160</v>
      </c>
      <c r="BC27">
        <v>161</v>
      </c>
      <c r="BD27">
        <v>151</v>
      </c>
      <c r="BE27">
        <v>151</v>
      </c>
      <c r="BF27">
        <v>314</v>
      </c>
      <c r="BG27">
        <f t="shared" si="20"/>
        <v>177</v>
      </c>
      <c r="BH27" s="1">
        <f t="shared" si="33"/>
        <v>5.6497175141242938E-3</v>
      </c>
      <c r="BI27" s="14">
        <f t="shared" si="22"/>
        <v>4.7402242342883026E-3</v>
      </c>
      <c r="BJ27">
        <v>151</v>
      </c>
      <c r="BK27">
        <v>151</v>
      </c>
      <c r="BL27">
        <v>160</v>
      </c>
      <c r="BM27">
        <v>161</v>
      </c>
      <c r="BN27">
        <v>151</v>
      </c>
      <c r="BO27">
        <v>151</v>
      </c>
      <c r="BP27">
        <v>382</v>
      </c>
      <c r="BQ27">
        <f t="shared" si="23"/>
        <v>186.71</v>
      </c>
      <c r="BR27" s="1">
        <f t="shared" si="34"/>
        <v>5.3558995233249423E-3</v>
      </c>
      <c r="BS27" s="14">
        <f t="shared" si="25"/>
        <v>4.4708698067891604E-3</v>
      </c>
      <c r="BT27">
        <v>151</v>
      </c>
      <c r="BU27">
        <v>151</v>
      </c>
      <c r="BV27">
        <v>160</v>
      </c>
      <c r="BW27">
        <v>161</v>
      </c>
      <c r="BX27">
        <v>151</v>
      </c>
      <c r="BY27">
        <v>151</v>
      </c>
      <c r="BZ27">
        <v>392</v>
      </c>
      <c r="CA27">
        <f t="shared" si="26"/>
        <v>188.14</v>
      </c>
      <c r="CB27" s="1">
        <f t="shared" si="35"/>
        <v>5.3151908153502717E-3</v>
      </c>
      <c r="CC27" s="14">
        <f t="shared" si="28"/>
        <v>4.4572193784534172E-3</v>
      </c>
    </row>
    <row r="28" spans="1:81" x14ac:dyDescent="0.3">
      <c r="A28" s="5" t="s">
        <v>52</v>
      </c>
      <c r="B28">
        <v>201</v>
      </c>
      <c r="C28">
        <v>201</v>
      </c>
      <c r="D28">
        <v>200</v>
      </c>
      <c r="E28">
        <f t="shared" si="1"/>
        <v>200.67</v>
      </c>
      <c r="F28" s="1">
        <f t="shared" si="2"/>
        <v>4.9833059251507454E-3</v>
      </c>
      <c r="G28" s="14">
        <f t="shared" si="0"/>
        <v>4.301533684092247E-3</v>
      </c>
      <c r="H28" s="34">
        <v>101</v>
      </c>
      <c r="I28">
        <v>126</v>
      </c>
      <c r="J28">
        <v>140</v>
      </c>
      <c r="K28">
        <f t="shared" si="3"/>
        <v>122.33</v>
      </c>
      <c r="L28" s="35">
        <f t="shared" si="4"/>
        <v>8.1746096623886207E-3</v>
      </c>
      <c r="M28" s="36">
        <f t="shared" si="5"/>
        <v>6.9308648002229601E-3</v>
      </c>
      <c r="N28">
        <v>81</v>
      </c>
      <c r="O28">
        <v>67</v>
      </c>
      <c r="P28">
        <v>85</v>
      </c>
      <c r="Q28">
        <f t="shared" si="6"/>
        <v>77.67</v>
      </c>
      <c r="R28" s="1">
        <f t="shared" si="7"/>
        <v>1.2874983906270118E-2</v>
      </c>
      <c r="S28" s="14">
        <f t="shared" si="8"/>
        <v>1.0735413805730227E-2</v>
      </c>
      <c r="T28">
        <v>81</v>
      </c>
      <c r="U28">
        <v>67</v>
      </c>
      <c r="V28">
        <v>85</v>
      </c>
      <c r="W28">
        <f t="shared" si="9"/>
        <v>77.67</v>
      </c>
      <c r="X28" s="1">
        <f t="shared" si="10"/>
        <v>1.2874983906270118E-2</v>
      </c>
      <c r="Y28" s="14">
        <f t="shared" si="11"/>
        <v>1.0735413805730227E-2</v>
      </c>
      <c r="Z28">
        <v>81</v>
      </c>
      <c r="AA28">
        <v>67</v>
      </c>
      <c r="AB28">
        <v>85</v>
      </c>
      <c r="AC28">
        <f t="shared" si="12"/>
        <v>77.67</v>
      </c>
      <c r="AD28" s="1">
        <f t="shared" si="30"/>
        <v>1.2874983906270118E-2</v>
      </c>
      <c r="AE28" s="14">
        <f t="shared" si="14"/>
        <v>1.072710442335229E-2</v>
      </c>
      <c r="AF28">
        <v>81</v>
      </c>
      <c r="AG28">
        <v>67</v>
      </c>
      <c r="AH28">
        <v>85</v>
      </c>
      <c r="AI28">
        <v>81</v>
      </c>
      <c r="AJ28">
        <v>67</v>
      </c>
      <c r="AK28">
        <v>81</v>
      </c>
      <c r="AL28">
        <v>127</v>
      </c>
      <c r="AM28">
        <f t="shared" si="15"/>
        <v>84.14</v>
      </c>
      <c r="AN28" s="1">
        <f t="shared" si="31"/>
        <v>1.1884953648680771E-2</v>
      </c>
      <c r="AO28" s="14">
        <f t="shared" si="17"/>
        <v>9.990215898140151E-3</v>
      </c>
      <c r="AP28">
        <v>81</v>
      </c>
      <c r="AQ28">
        <v>67</v>
      </c>
      <c r="AR28">
        <v>85</v>
      </c>
      <c r="AS28">
        <v>81</v>
      </c>
      <c r="AT28">
        <v>67</v>
      </c>
      <c r="AU28">
        <v>81</v>
      </c>
      <c r="AV28">
        <v>127</v>
      </c>
      <c r="AW28">
        <f t="shared" si="18"/>
        <v>84.14</v>
      </c>
      <c r="AX28" s="1">
        <f t="shared" si="32"/>
        <v>1.1884953648680771E-2</v>
      </c>
      <c r="AY28" s="14">
        <f t="shared" si="29"/>
        <v>9.9736394171211981E-3</v>
      </c>
      <c r="AZ28">
        <v>81</v>
      </c>
      <c r="BA28">
        <v>67</v>
      </c>
      <c r="BB28">
        <v>85</v>
      </c>
      <c r="BC28">
        <v>81</v>
      </c>
      <c r="BD28">
        <v>67</v>
      </c>
      <c r="BE28">
        <v>81</v>
      </c>
      <c r="BF28">
        <v>108</v>
      </c>
      <c r="BG28">
        <f t="shared" si="20"/>
        <v>81.430000000000007</v>
      </c>
      <c r="BH28" s="1">
        <f t="shared" si="33"/>
        <v>1.2280486307257766E-2</v>
      </c>
      <c r="BI28" s="14">
        <f t="shared" si="22"/>
        <v>1.0303569808044082E-2</v>
      </c>
      <c r="BJ28">
        <v>81</v>
      </c>
      <c r="BK28">
        <v>67</v>
      </c>
      <c r="BL28">
        <v>85</v>
      </c>
      <c r="BM28">
        <v>81</v>
      </c>
      <c r="BN28">
        <v>67</v>
      </c>
      <c r="BO28">
        <v>81</v>
      </c>
      <c r="BP28">
        <v>127</v>
      </c>
      <c r="BQ28">
        <f t="shared" si="23"/>
        <v>84.14</v>
      </c>
      <c r="BR28" s="1">
        <f t="shared" si="34"/>
        <v>1.1884953648680771E-2</v>
      </c>
      <c r="BS28" s="14">
        <f t="shared" si="25"/>
        <v>9.9210375757737591E-3</v>
      </c>
      <c r="BT28">
        <v>81</v>
      </c>
      <c r="BU28">
        <v>67</v>
      </c>
      <c r="BV28">
        <v>85</v>
      </c>
      <c r="BW28">
        <v>81</v>
      </c>
      <c r="BX28">
        <v>67</v>
      </c>
      <c r="BY28">
        <v>81</v>
      </c>
      <c r="BZ28">
        <v>118</v>
      </c>
      <c r="CA28">
        <f t="shared" si="26"/>
        <v>82.86</v>
      </c>
      <c r="CB28" s="1">
        <f t="shared" si="35"/>
        <v>1.2068549360366883E-2</v>
      </c>
      <c r="CC28" s="14">
        <f t="shared" si="28"/>
        <v>1.0120459254914624E-2</v>
      </c>
    </row>
    <row r="29" spans="1:81" x14ac:dyDescent="0.3">
      <c r="A29" s="5" t="s">
        <v>24</v>
      </c>
      <c r="B29">
        <v>251</v>
      </c>
      <c r="C29">
        <v>151</v>
      </c>
      <c r="D29">
        <v>250</v>
      </c>
      <c r="E29">
        <f t="shared" si="1"/>
        <v>217.33</v>
      </c>
      <c r="F29" s="1">
        <f t="shared" si="2"/>
        <v>4.6012975659135875E-3</v>
      </c>
      <c r="G29" s="14">
        <f t="shared" si="0"/>
        <v>3.9717883604968992E-3</v>
      </c>
      <c r="H29">
        <v>151</v>
      </c>
      <c r="I29">
        <v>151</v>
      </c>
      <c r="J29">
        <v>250</v>
      </c>
      <c r="K29">
        <f t="shared" si="3"/>
        <v>184</v>
      </c>
      <c r="L29" s="1">
        <f t="shared" si="4"/>
        <v>5.434782608695652E-3</v>
      </c>
      <c r="M29" s="14">
        <f t="shared" si="5"/>
        <v>4.6078950598438841E-3</v>
      </c>
      <c r="N29">
        <v>151</v>
      </c>
      <c r="O29">
        <v>151</v>
      </c>
      <c r="P29">
        <v>160</v>
      </c>
      <c r="Q29">
        <f t="shared" si="6"/>
        <v>154</v>
      </c>
      <c r="R29" s="1">
        <f t="shared" si="7"/>
        <v>6.4935064935064939E-3</v>
      </c>
      <c r="S29" s="14">
        <f t="shared" si="8"/>
        <v>5.4144129239679659E-3</v>
      </c>
      <c r="T29">
        <v>151</v>
      </c>
      <c r="U29">
        <v>151</v>
      </c>
      <c r="V29">
        <v>160</v>
      </c>
      <c r="W29">
        <f t="shared" si="9"/>
        <v>154</v>
      </c>
      <c r="X29" s="1">
        <f t="shared" si="10"/>
        <v>6.4935064935064939E-3</v>
      </c>
      <c r="Y29" s="14">
        <f t="shared" si="11"/>
        <v>5.4144129239679659E-3</v>
      </c>
      <c r="Z29">
        <v>151</v>
      </c>
      <c r="AA29">
        <v>151</v>
      </c>
      <c r="AB29">
        <v>160</v>
      </c>
      <c r="AC29">
        <f t="shared" si="12"/>
        <v>154</v>
      </c>
      <c r="AD29" s="1">
        <f t="shared" si="30"/>
        <v>6.4935064935064939E-3</v>
      </c>
      <c r="AE29" s="14">
        <f t="shared" si="14"/>
        <v>5.4102220815699506E-3</v>
      </c>
      <c r="AF29">
        <v>151</v>
      </c>
      <c r="AG29">
        <v>151</v>
      </c>
      <c r="AH29">
        <v>150</v>
      </c>
      <c r="AI29">
        <v>151</v>
      </c>
      <c r="AJ29">
        <v>101</v>
      </c>
      <c r="AK29">
        <v>151</v>
      </c>
      <c r="AL29">
        <v>314</v>
      </c>
      <c r="AM29">
        <f t="shared" si="15"/>
        <v>167</v>
      </c>
      <c r="AN29" s="1">
        <f t="shared" si="31"/>
        <v>5.9880239520958087E-3</v>
      </c>
      <c r="AO29" s="14">
        <f t="shared" si="17"/>
        <v>5.0333938064042651E-3</v>
      </c>
      <c r="AP29">
        <v>151</v>
      </c>
      <c r="AQ29">
        <v>151</v>
      </c>
      <c r="AR29">
        <v>160</v>
      </c>
      <c r="AS29">
        <v>161</v>
      </c>
      <c r="AT29">
        <v>101</v>
      </c>
      <c r="AU29">
        <v>151</v>
      </c>
      <c r="AV29">
        <v>314</v>
      </c>
      <c r="AW29">
        <f t="shared" si="18"/>
        <v>169.86</v>
      </c>
      <c r="AX29" s="1">
        <f t="shared" si="32"/>
        <v>5.8872012245378543E-3</v>
      </c>
      <c r="AY29" s="14">
        <f t="shared" si="29"/>
        <v>4.9404334190308345E-3</v>
      </c>
      <c r="AZ29">
        <v>151</v>
      </c>
      <c r="BA29">
        <v>151</v>
      </c>
      <c r="BB29">
        <v>160</v>
      </c>
      <c r="BC29">
        <v>161</v>
      </c>
      <c r="BD29">
        <v>101</v>
      </c>
      <c r="BE29">
        <v>151</v>
      </c>
      <c r="BF29">
        <v>314</v>
      </c>
      <c r="BG29">
        <f t="shared" si="20"/>
        <v>169.86</v>
      </c>
      <c r="BH29" s="1">
        <f t="shared" si="33"/>
        <v>5.8872012245378543E-3</v>
      </c>
      <c r="BI29" s="14">
        <f t="shared" si="22"/>
        <v>4.9394777432534408E-3</v>
      </c>
      <c r="BJ29">
        <v>151</v>
      </c>
      <c r="BK29">
        <v>151</v>
      </c>
      <c r="BL29">
        <v>160</v>
      </c>
      <c r="BM29">
        <v>161</v>
      </c>
      <c r="BN29">
        <v>101</v>
      </c>
      <c r="BO29">
        <v>151</v>
      </c>
      <c r="BP29">
        <v>333</v>
      </c>
      <c r="BQ29">
        <f t="shared" si="23"/>
        <v>172.57</v>
      </c>
      <c r="BR29" s="1">
        <f t="shared" si="34"/>
        <v>5.7947499565393756E-3</v>
      </c>
      <c r="BS29" s="14">
        <f t="shared" si="25"/>
        <v>4.8372028836159483E-3</v>
      </c>
      <c r="BT29">
        <v>151</v>
      </c>
      <c r="BU29">
        <v>151</v>
      </c>
      <c r="BV29">
        <v>160</v>
      </c>
      <c r="BW29">
        <v>161</v>
      </c>
      <c r="BX29">
        <v>101</v>
      </c>
      <c r="BY29">
        <v>151</v>
      </c>
      <c r="BZ29">
        <v>353</v>
      </c>
      <c r="CA29">
        <f t="shared" si="26"/>
        <v>175.43</v>
      </c>
      <c r="CB29" s="1">
        <f t="shared" si="35"/>
        <v>5.7002793136863702E-3</v>
      </c>
      <c r="CC29" s="14">
        <f t="shared" si="28"/>
        <v>4.7801473742360243E-3</v>
      </c>
    </row>
    <row r="30" spans="1:81" x14ac:dyDescent="0.3">
      <c r="A30" s="5" t="s">
        <v>53</v>
      </c>
      <c r="B30">
        <v>251</v>
      </c>
      <c r="C30">
        <v>151</v>
      </c>
      <c r="D30">
        <v>250</v>
      </c>
      <c r="E30">
        <f t="shared" si="1"/>
        <v>217.33</v>
      </c>
      <c r="F30" s="1">
        <f t="shared" si="2"/>
        <v>4.6012975659135875E-3</v>
      </c>
      <c r="G30" s="14">
        <f t="shared" si="0"/>
        <v>3.9717883604968992E-3</v>
      </c>
      <c r="H30">
        <v>251</v>
      </c>
      <c r="I30">
        <v>151</v>
      </c>
      <c r="J30">
        <v>250</v>
      </c>
      <c r="K30">
        <f t="shared" si="3"/>
        <v>217.33</v>
      </c>
      <c r="L30" s="1">
        <f t="shared" si="4"/>
        <v>4.6012975659135875E-3</v>
      </c>
      <c r="M30" s="14">
        <f t="shared" si="5"/>
        <v>3.9012225234034636E-3</v>
      </c>
      <c r="N30">
        <v>251</v>
      </c>
      <c r="O30">
        <v>251</v>
      </c>
      <c r="P30">
        <v>250</v>
      </c>
      <c r="Q30">
        <f t="shared" si="6"/>
        <v>250.67</v>
      </c>
      <c r="R30" s="1">
        <f t="shared" si="7"/>
        <v>3.9893086528104684E-3</v>
      </c>
      <c r="S30" s="14">
        <f t="shared" si="8"/>
        <v>3.3263637064310319E-3</v>
      </c>
      <c r="T30">
        <v>251</v>
      </c>
      <c r="U30">
        <v>251</v>
      </c>
      <c r="V30">
        <v>250</v>
      </c>
      <c r="W30">
        <f t="shared" si="9"/>
        <v>250.67</v>
      </c>
      <c r="X30" s="1">
        <f t="shared" si="10"/>
        <v>3.9893086528104684E-3</v>
      </c>
      <c r="Y30" s="14">
        <f t="shared" si="11"/>
        <v>3.3263637064310319E-3</v>
      </c>
      <c r="Z30">
        <v>251</v>
      </c>
      <c r="AA30">
        <v>251</v>
      </c>
      <c r="AB30">
        <v>250</v>
      </c>
      <c r="AC30">
        <f t="shared" si="12"/>
        <v>250.67</v>
      </c>
      <c r="AD30" s="1">
        <f t="shared" si="30"/>
        <v>3.9893086528104684E-3</v>
      </c>
      <c r="AE30" s="14">
        <f t="shared" si="14"/>
        <v>3.3237890475995235E-3</v>
      </c>
      <c r="AF30">
        <v>251</v>
      </c>
      <c r="AG30">
        <v>251</v>
      </c>
      <c r="AH30">
        <v>250</v>
      </c>
      <c r="AI30">
        <v>251</v>
      </c>
      <c r="AJ30">
        <v>251</v>
      </c>
      <c r="AK30">
        <v>151</v>
      </c>
      <c r="AL30">
        <v>245</v>
      </c>
      <c r="AM30">
        <f t="shared" si="15"/>
        <v>235.71</v>
      </c>
      <c r="AN30" s="1">
        <f t="shared" si="31"/>
        <v>4.2425013788129481E-3</v>
      </c>
      <c r="AO30" s="14">
        <f t="shared" si="17"/>
        <v>3.5661480873510338E-3</v>
      </c>
      <c r="AP30">
        <v>251</v>
      </c>
      <c r="AQ30">
        <v>251</v>
      </c>
      <c r="AR30">
        <v>250</v>
      </c>
      <c r="AS30">
        <v>251</v>
      </c>
      <c r="AT30">
        <v>251</v>
      </c>
      <c r="AU30">
        <v>151</v>
      </c>
      <c r="AV30">
        <v>245</v>
      </c>
      <c r="AW30">
        <f t="shared" si="18"/>
        <v>235.71</v>
      </c>
      <c r="AX30" s="1">
        <f t="shared" si="32"/>
        <v>4.2425013788129481E-3</v>
      </c>
      <c r="AY30" s="14">
        <f t="shared" si="29"/>
        <v>3.5602308792863162E-3</v>
      </c>
      <c r="AZ30">
        <v>251</v>
      </c>
      <c r="BA30">
        <v>251</v>
      </c>
      <c r="BB30">
        <v>250</v>
      </c>
      <c r="BC30">
        <v>251</v>
      </c>
      <c r="BD30">
        <v>251</v>
      </c>
      <c r="BE30">
        <v>151</v>
      </c>
      <c r="BF30">
        <v>245</v>
      </c>
      <c r="BG30">
        <f t="shared" si="20"/>
        <v>235.71</v>
      </c>
      <c r="BH30" s="1">
        <f t="shared" si="33"/>
        <v>4.2425013788129481E-3</v>
      </c>
      <c r="BI30" s="14">
        <f t="shared" si="22"/>
        <v>3.5595421894235695E-3</v>
      </c>
      <c r="BJ30">
        <v>251</v>
      </c>
      <c r="BK30">
        <v>251</v>
      </c>
      <c r="BL30">
        <v>250</v>
      </c>
      <c r="BM30">
        <v>251</v>
      </c>
      <c r="BN30">
        <v>251</v>
      </c>
      <c r="BO30">
        <v>151</v>
      </c>
      <c r="BP30">
        <v>245</v>
      </c>
      <c r="BQ30">
        <f t="shared" si="23"/>
        <v>235.71</v>
      </c>
      <c r="BR30" s="1">
        <f t="shared" si="34"/>
        <v>4.2425013788129481E-3</v>
      </c>
      <c r="BS30" s="14">
        <f t="shared" si="25"/>
        <v>3.5414539121191467E-3</v>
      </c>
      <c r="BT30">
        <v>251</v>
      </c>
      <c r="BU30">
        <v>251</v>
      </c>
      <c r="BV30">
        <v>250</v>
      </c>
      <c r="BW30">
        <v>251</v>
      </c>
      <c r="BX30">
        <v>251</v>
      </c>
      <c r="BY30">
        <v>151</v>
      </c>
      <c r="BZ30">
        <v>265</v>
      </c>
      <c r="CA30">
        <f t="shared" si="26"/>
        <v>238.57</v>
      </c>
      <c r="CB30" s="1">
        <f t="shared" si="35"/>
        <v>4.191641866118959E-3</v>
      </c>
      <c r="CC30" s="14">
        <f t="shared" si="28"/>
        <v>3.515032291831437E-3</v>
      </c>
    </row>
    <row r="31" spans="1:81" x14ac:dyDescent="0.3">
      <c r="A31" s="5" t="s">
        <v>54</v>
      </c>
      <c r="B31">
        <v>301</v>
      </c>
      <c r="C31">
        <v>101</v>
      </c>
      <c r="D31">
        <v>300</v>
      </c>
      <c r="E31">
        <f t="shared" si="1"/>
        <v>234</v>
      </c>
      <c r="F31" s="1">
        <f t="shared" si="2"/>
        <v>4.2735042735042739E-3</v>
      </c>
      <c r="G31" s="14">
        <f t="shared" si="0"/>
        <v>3.6888408734478259E-3</v>
      </c>
      <c r="H31" s="34">
        <v>201</v>
      </c>
      <c r="I31">
        <v>67</v>
      </c>
      <c r="J31">
        <v>180</v>
      </c>
      <c r="K31">
        <f t="shared" si="3"/>
        <v>149.33000000000001</v>
      </c>
      <c r="L31" s="35">
        <f t="shared" si="4"/>
        <v>6.6965780486171562E-3</v>
      </c>
      <c r="M31" s="36">
        <f t="shared" si="5"/>
        <v>5.677711719087087E-3</v>
      </c>
      <c r="N31">
        <v>126</v>
      </c>
      <c r="O31">
        <v>67</v>
      </c>
      <c r="P31">
        <v>120</v>
      </c>
      <c r="Q31">
        <f t="shared" si="6"/>
        <v>104.33</v>
      </c>
      <c r="R31" s="1">
        <f t="shared" si="7"/>
        <v>9.5849707658391646E-3</v>
      </c>
      <c r="S31" s="14">
        <f t="shared" si="8"/>
        <v>7.9921363969238639E-3</v>
      </c>
      <c r="T31">
        <v>126</v>
      </c>
      <c r="U31">
        <v>67</v>
      </c>
      <c r="V31">
        <v>130</v>
      </c>
      <c r="W31">
        <f t="shared" si="9"/>
        <v>107.67</v>
      </c>
      <c r="X31" s="1">
        <f t="shared" si="10"/>
        <v>9.2876381536175345E-3</v>
      </c>
      <c r="Y31" s="14">
        <f t="shared" si="11"/>
        <v>7.744214640021051E-3</v>
      </c>
      <c r="Z31">
        <v>126</v>
      </c>
      <c r="AA31">
        <v>67</v>
      </c>
      <c r="AB31">
        <v>130</v>
      </c>
      <c r="AC31">
        <f t="shared" si="12"/>
        <v>107.67</v>
      </c>
      <c r="AD31" s="1">
        <f t="shared" si="30"/>
        <v>9.2876381536175345E-3</v>
      </c>
      <c r="AE31" s="14">
        <f t="shared" si="14"/>
        <v>7.7382204937473048E-3</v>
      </c>
      <c r="AF31">
        <v>126</v>
      </c>
      <c r="AG31">
        <v>67</v>
      </c>
      <c r="AH31">
        <v>120</v>
      </c>
      <c r="AI31">
        <v>126</v>
      </c>
      <c r="AJ31">
        <v>67</v>
      </c>
      <c r="AK31">
        <v>101</v>
      </c>
      <c r="AL31">
        <v>118</v>
      </c>
      <c r="AM31">
        <f t="shared" si="15"/>
        <v>103.57</v>
      </c>
      <c r="AN31" s="1">
        <f t="shared" si="31"/>
        <v>9.6553055904219382E-3</v>
      </c>
      <c r="AO31" s="14">
        <f t="shared" si="17"/>
        <v>8.1160255447476331E-3</v>
      </c>
      <c r="AP31">
        <v>126</v>
      </c>
      <c r="AQ31">
        <v>67</v>
      </c>
      <c r="AR31">
        <v>130</v>
      </c>
      <c r="AS31">
        <v>126</v>
      </c>
      <c r="AT31">
        <v>67</v>
      </c>
      <c r="AU31">
        <v>101</v>
      </c>
      <c r="AV31">
        <v>118</v>
      </c>
      <c r="AW31">
        <f t="shared" si="18"/>
        <v>105</v>
      </c>
      <c r="AX31" s="1">
        <f t="shared" si="32"/>
        <v>9.5238095238095247E-3</v>
      </c>
      <c r="AY31" s="14">
        <f t="shared" si="29"/>
        <v>7.9922097195864548E-3</v>
      </c>
      <c r="AZ31">
        <v>126</v>
      </c>
      <c r="BA31">
        <v>67</v>
      </c>
      <c r="BB31">
        <v>130</v>
      </c>
      <c r="BC31">
        <v>126</v>
      </c>
      <c r="BD31">
        <v>67</v>
      </c>
      <c r="BE31">
        <v>101</v>
      </c>
      <c r="BF31">
        <v>147</v>
      </c>
      <c r="BG31">
        <f t="shared" si="20"/>
        <v>109.14</v>
      </c>
      <c r="BH31" s="1">
        <f t="shared" si="33"/>
        <v>9.1625435220817307E-3</v>
      </c>
      <c r="BI31" s="14">
        <f t="shared" si="22"/>
        <v>7.6875544206434819E-3</v>
      </c>
      <c r="BJ31">
        <v>126</v>
      </c>
      <c r="BK31">
        <v>67</v>
      </c>
      <c r="BL31">
        <v>130</v>
      </c>
      <c r="BM31">
        <v>126</v>
      </c>
      <c r="BN31">
        <v>67</v>
      </c>
      <c r="BO31">
        <v>101</v>
      </c>
      <c r="BP31">
        <v>157</v>
      </c>
      <c r="BQ31">
        <f t="shared" si="23"/>
        <v>110.57</v>
      </c>
      <c r="BR31" s="1">
        <f t="shared" si="34"/>
        <v>9.0440444966989244E-3</v>
      </c>
      <c r="BS31" s="14">
        <f t="shared" si="25"/>
        <v>7.5495713269928925E-3</v>
      </c>
      <c r="BT31">
        <v>126</v>
      </c>
      <c r="BU31">
        <v>67</v>
      </c>
      <c r="BV31">
        <v>130</v>
      </c>
      <c r="BW31">
        <v>126</v>
      </c>
      <c r="BX31">
        <v>67</v>
      </c>
      <c r="BY31">
        <v>101</v>
      </c>
      <c r="BZ31">
        <v>176</v>
      </c>
      <c r="CA31">
        <f t="shared" si="26"/>
        <v>113.29</v>
      </c>
      <c r="CB31" s="1">
        <f t="shared" si="35"/>
        <v>8.8269044046252968E-3</v>
      </c>
      <c r="CC31" s="14">
        <f t="shared" si="28"/>
        <v>7.4020765633526853E-3</v>
      </c>
    </row>
    <row r="32" spans="1:81" x14ac:dyDescent="0.3">
      <c r="A32" s="5" t="s">
        <v>55</v>
      </c>
      <c r="B32">
        <v>301</v>
      </c>
      <c r="C32">
        <v>151</v>
      </c>
      <c r="D32">
        <v>300</v>
      </c>
      <c r="E32">
        <f t="shared" si="1"/>
        <v>250.67</v>
      </c>
      <c r="F32" s="1">
        <f t="shared" si="2"/>
        <v>3.9893086528104684E-3</v>
      </c>
      <c r="G32" s="14">
        <f t="shared" si="0"/>
        <v>3.4435264067770024E-3</v>
      </c>
      <c r="H32">
        <v>301</v>
      </c>
      <c r="I32">
        <v>151</v>
      </c>
      <c r="J32">
        <v>300</v>
      </c>
      <c r="K32">
        <f t="shared" si="3"/>
        <v>250.67</v>
      </c>
      <c r="L32" s="1">
        <f t="shared" si="4"/>
        <v>3.9893086528104684E-3</v>
      </c>
      <c r="M32" s="14">
        <f t="shared" si="5"/>
        <v>3.382346076559919E-3</v>
      </c>
      <c r="N32">
        <v>301</v>
      </c>
      <c r="O32">
        <v>251</v>
      </c>
      <c r="P32">
        <v>300</v>
      </c>
      <c r="Q32">
        <f t="shared" si="6"/>
        <v>284</v>
      </c>
      <c r="R32" s="1">
        <f t="shared" si="7"/>
        <v>3.5211267605633804E-3</v>
      </c>
      <c r="S32" s="14">
        <f t="shared" si="8"/>
        <v>2.9359844728558686E-3</v>
      </c>
      <c r="T32">
        <v>301</v>
      </c>
      <c r="U32">
        <v>251</v>
      </c>
      <c r="V32">
        <v>300</v>
      </c>
      <c r="W32">
        <f t="shared" si="9"/>
        <v>284</v>
      </c>
      <c r="X32" s="1">
        <f t="shared" si="10"/>
        <v>3.5211267605633804E-3</v>
      </c>
      <c r="Y32" s="14">
        <f t="shared" si="11"/>
        <v>2.9359844728558686E-3</v>
      </c>
      <c r="Z32">
        <v>301</v>
      </c>
      <c r="AA32">
        <v>251</v>
      </c>
      <c r="AB32">
        <v>300</v>
      </c>
      <c r="AC32">
        <f t="shared" si="12"/>
        <v>284</v>
      </c>
      <c r="AD32" s="1">
        <f t="shared" si="30"/>
        <v>3.5211267605633804E-3</v>
      </c>
      <c r="AE32" s="14">
        <f t="shared" si="14"/>
        <v>2.9337119738090576E-3</v>
      </c>
      <c r="AF32">
        <v>301</v>
      </c>
      <c r="AG32">
        <v>251</v>
      </c>
      <c r="AH32">
        <v>300</v>
      </c>
      <c r="AI32">
        <v>301</v>
      </c>
      <c r="AJ32">
        <v>201</v>
      </c>
      <c r="AK32">
        <v>251</v>
      </c>
      <c r="AL32">
        <v>392</v>
      </c>
      <c r="AM32">
        <f t="shared" si="15"/>
        <v>285.29000000000002</v>
      </c>
      <c r="AN32" s="1">
        <f t="shared" si="31"/>
        <v>3.5052052297662025E-3</v>
      </c>
      <c r="AO32" s="14">
        <f t="shared" si="17"/>
        <v>2.9463940750447341E-3</v>
      </c>
      <c r="AP32">
        <v>301</v>
      </c>
      <c r="AQ32">
        <v>251</v>
      </c>
      <c r="AR32">
        <v>300</v>
      </c>
      <c r="AS32">
        <v>301</v>
      </c>
      <c r="AT32">
        <v>201</v>
      </c>
      <c r="AU32">
        <v>251</v>
      </c>
      <c r="AV32">
        <v>392</v>
      </c>
      <c r="AW32">
        <f t="shared" si="18"/>
        <v>285.29000000000002</v>
      </c>
      <c r="AX32" s="1">
        <f t="shared" si="32"/>
        <v>3.5052052297662025E-3</v>
      </c>
      <c r="AY32" s="14">
        <f t="shared" si="29"/>
        <v>2.9415052071806846E-3</v>
      </c>
      <c r="AZ32">
        <v>301</v>
      </c>
      <c r="BA32">
        <v>251</v>
      </c>
      <c r="BB32">
        <v>300</v>
      </c>
      <c r="BC32">
        <v>301</v>
      </c>
      <c r="BD32">
        <v>201</v>
      </c>
      <c r="BE32">
        <v>251</v>
      </c>
      <c r="BF32">
        <v>461</v>
      </c>
      <c r="BG32">
        <f t="shared" si="20"/>
        <v>295.14</v>
      </c>
      <c r="BH32" s="1">
        <f t="shared" si="33"/>
        <v>3.3882225384563262E-3</v>
      </c>
      <c r="BI32" s="14">
        <f t="shared" si="22"/>
        <v>2.842785422067594E-3</v>
      </c>
      <c r="BJ32">
        <v>301</v>
      </c>
      <c r="BK32">
        <v>251</v>
      </c>
      <c r="BL32">
        <v>300</v>
      </c>
      <c r="BM32">
        <v>301</v>
      </c>
      <c r="BN32">
        <v>201</v>
      </c>
      <c r="BO32">
        <v>251</v>
      </c>
      <c r="BP32">
        <v>470</v>
      </c>
      <c r="BQ32">
        <f t="shared" si="23"/>
        <v>296.43</v>
      </c>
      <c r="BR32" s="1">
        <f t="shared" si="34"/>
        <v>3.3734777181796713E-3</v>
      </c>
      <c r="BS32" s="14">
        <f t="shared" si="25"/>
        <v>2.8160311089485009E-3</v>
      </c>
      <c r="BT32">
        <v>301</v>
      </c>
      <c r="BU32">
        <v>251</v>
      </c>
      <c r="BV32">
        <v>300</v>
      </c>
      <c r="BW32">
        <v>301</v>
      </c>
      <c r="BX32">
        <v>201</v>
      </c>
      <c r="BY32">
        <v>251</v>
      </c>
      <c r="BZ32">
        <v>470</v>
      </c>
      <c r="CA32">
        <f t="shared" si="26"/>
        <v>296.43</v>
      </c>
      <c r="CB32" s="1">
        <f t="shared" si="35"/>
        <v>3.3734777181796713E-3</v>
      </c>
      <c r="CC32" s="14">
        <f t="shared" si="28"/>
        <v>2.8289351747873893E-3</v>
      </c>
    </row>
    <row r="33" spans="1:81" x14ac:dyDescent="0.3">
      <c r="A33" s="5" t="s">
        <v>56</v>
      </c>
      <c r="B33">
        <v>301</v>
      </c>
      <c r="C33">
        <v>201</v>
      </c>
      <c r="D33">
        <v>300</v>
      </c>
      <c r="E33">
        <f t="shared" si="1"/>
        <v>267.33</v>
      </c>
      <c r="F33" s="1">
        <f t="shared" si="2"/>
        <v>3.7406950211349272E-3</v>
      </c>
      <c r="G33" s="14">
        <f t="shared" si="0"/>
        <v>3.2289259132412792E-3</v>
      </c>
      <c r="H33">
        <v>301</v>
      </c>
      <c r="I33">
        <v>201</v>
      </c>
      <c r="J33">
        <v>275</v>
      </c>
      <c r="K33">
        <f t="shared" si="3"/>
        <v>259</v>
      </c>
      <c r="L33" s="1">
        <f t="shared" si="4"/>
        <v>3.8610038610038611E-3</v>
      </c>
      <c r="M33" s="14">
        <f t="shared" si="5"/>
        <v>3.2735625135570457E-3</v>
      </c>
      <c r="N33">
        <v>301</v>
      </c>
      <c r="O33">
        <v>201</v>
      </c>
      <c r="P33">
        <v>300</v>
      </c>
      <c r="Q33">
        <f t="shared" si="6"/>
        <v>267.33</v>
      </c>
      <c r="R33" s="1">
        <f t="shared" si="7"/>
        <v>3.7406950211349272E-3</v>
      </c>
      <c r="S33" s="14">
        <f t="shared" si="8"/>
        <v>3.1190647899265577E-3</v>
      </c>
      <c r="T33">
        <v>301</v>
      </c>
      <c r="U33">
        <v>201</v>
      </c>
      <c r="V33">
        <v>300</v>
      </c>
      <c r="W33">
        <f t="shared" si="9"/>
        <v>267.33</v>
      </c>
      <c r="X33" s="1">
        <f t="shared" si="10"/>
        <v>3.7406950211349272E-3</v>
      </c>
      <c r="Y33" s="14">
        <f t="shared" si="11"/>
        <v>3.1190647899265577E-3</v>
      </c>
      <c r="Z33">
        <v>301</v>
      </c>
      <c r="AA33">
        <v>201</v>
      </c>
      <c r="AB33">
        <v>300</v>
      </c>
      <c r="AC33">
        <f t="shared" si="12"/>
        <v>267.33</v>
      </c>
      <c r="AD33" s="1">
        <f t="shared" si="30"/>
        <v>3.7406950211349272E-3</v>
      </c>
      <c r="AE33" s="14">
        <f t="shared" si="14"/>
        <v>3.1166505837794951E-3</v>
      </c>
      <c r="AF33">
        <v>301</v>
      </c>
      <c r="AG33">
        <v>201</v>
      </c>
      <c r="AH33">
        <v>300</v>
      </c>
      <c r="AI33">
        <v>301</v>
      </c>
      <c r="AJ33">
        <v>151</v>
      </c>
      <c r="AK33">
        <v>251</v>
      </c>
      <c r="AL33">
        <v>294</v>
      </c>
      <c r="AM33">
        <f t="shared" si="15"/>
        <v>257</v>
      </c>
      <c r="AN33" s="1">
        <f t="shared" si="31"/>
        <v>3.8910505836575876E-3</v>
      </c>
      <c r="AO33" s="14">
        <f t="shared" si="17"/>
        <v>3.2707267146673629E-3</v>
      </c>
      <c r="AP33">
        <v>301</v>
      </c>
      <c r="AQ33">
        <v>201</v>
      </c>
      <c r="AR33">
        <v>300</v>
      </c>
      <c r="AS33">
        <v>301</v>
      </c>
      <c r="AT33">
        <v>151</v>
      </c>
      <c r="AU33">
        <v>251</v>
      </c>
      <c r="AV33">
        <v>294</v>
      </c>
      <c r="AW33">
        <f t="shared" si="18"/>
        <v>257</v>
      </c>
      <c r="AX33" s="1">
        <f t="shared" si="32"/>
        <v>3.8910505836575876E-3</v>
      </c>
      <c r="AY33" s="14">
        <f t="shared" si="29"/>
        <v>3.2652996908816251E-3</v>
      </c>
      <c r="AZ33">
        <v>301</v>
      </c>
      <c r="BA33">
        <v>201</v>
      </c>
      <c r="BB33">
        <v>300</v>
      </c>
      <c r="BC33">
        <v>301</v>
      </c>
      <c r="BD33">
        <v>151</v>
      </c>
      <c r="BE33">
        <v>251</v>
      </c>
      <c r="BF33">
        <v>333</v>
      </c>
      <c r="BG33">
        <f t="shared" si="20"/>
        <v>262.57</v>
      </c>
      <c r="BH33" s="1">
        <f t="shared" si="33"/>
        <v>3.8085082073351867E-3</v>
      </c>
      <c r="BI33" s="14">
        <f t="shared" si="22"/>
        <v>3.1954133734586189E-3</v>
      </c>
      <c r="BJ33">
        <v>301</v>
      </c>
      <c r="BK33">
        <v>201</v>
      </c>
      <c r="BL33">
        <v>300</v>
      </c>
      <c r="BM33">
        <v>301</v>
      </c>
      <c r="BN33">
        <v>151</v>
      </c>
      <c r="BO33">
        <v>251</v>
      </c>
      <c r="BP33">
        <v>343</v>
      </c>
      <c r="BQ33">
        <f t="shared" si="23"/>
        <v>264</v>
      </c>
      <c r="BR33" s="1">
        <f t="shared" si="34"/>
        <v>3.787878787878788E-3</v>
      </c>
      <c r="BS33" s="14">
        <f t="shared" si="25"/>
        <v>3.1619549304000155E-3</v>
      </c>
      <c r="BT33">
        <v>301</v>
      </c>
      <c r="BU33">
        <v>201</v>
      </c>
      <c r="BV33">
        <v>300</v>
      </c>
      <c r="BW33">
        <v>301</v>
      </c>
      <c r="BX33">
        <v>151</v>
      </c>
      <c r="BY33">
        <v>251</v>
      </c>
      <c r="BZ33">
        <v>353</v>
      </c>
      <c r="CA33">
        <f t="shared" si="26"/>
        <v>265.43</v>
      </c>
      <c r="CB33" s="1">
        <f t="shared" si="35"/>
        <v>3.7674716497758352E-3</v>
      </c>
      <c r="CC33" s="14">
        <f t="shared" si="28"/>
        <v>3.1593310999594084E-3</v>
      </c>
    </row>
    <row r="34" spans="1:81" x14ac:dyDescent="0.3">
      <c r="A34" s="5" t="s">
        <v>57</v>
      </c>
      <c r="B34">
        <v>401</v>
      </c>
      <c r="C34">
        <v>101</v>
      </c>
      <c r="D34">
        <v>375</v>
      </c>
      <c r="E34">
        <f t="shared" si="1"/>
        <v>292.33</v>
      </c>
      <c r="F34" s="1">
        <f t="shared" si="2"/>
        <v>3.420791571169569E-3</v>
      </c>
      <c r="G34" s="14">
        <f t="shared" si="0"/>
        <v>2.9527888495426103E-3</v>
      </c>
      <c r="H34">
        <v>401</v>
      </c>
      <c r="I34">
        <v>101</v>
      </c>
      <c r="J34">
        <v>375</v>
      </c>
      <c r="K34">
        <f t="shared" si="3"/>
        <v>292.33</v>
      </c>
      <c r="L34" s="1">
        <f t="shared" si="4"/>
        <v>3.420791571169569E-3</v>
      </c>
      <c r="M34" s="14">
        <f t="shared" si="5"/>
        <v>2.9003273390048059E-3</v>
      </c>
      <c r="N34">
        <v>401</v>
      </c>
      <c r="O34">
        <v>251</v>
      </c>
      <c r="P34">
        <v>400</v>
      </c>
      <c r="Q34">
        <f t="shared" si="6"/>
        <v>350.67</v>
      </c>
      <c r="R34" s="1">
        <f t="shared" si="7"/>
        <v>2.8516839193543785E-3</v>
      </c>
      <c r="S34" s="14">
        <f t="shared" si="8"/>
        <v>2.3777899172756911E-3</v>
      </c>
      <c r="T34">
        <v>401</v>
      </c>
      <c r="U34">
        <v>251</v>
      </c>
      <c r="V34">
        <v>400</v>
      </c>
      <c r="W34">
        <f t="shared" si="9"/>
        <v>350.67</v>
      </c>
      <c r="X34" s="1">
        <f t="shared" si="10"/>
        <v>2.8516839193543785E-3</v>
      </c>
      <c r="Y34" s="14">
        <f t="shared" si="11"/>
        <v>2.3777899172756911E-3</v>
      </c>
      <c r="Z34">
        <v>401</v>
      </c>
      <c r="AA34">
        <v>251</v>
      </c>
      <c r="AB34">
        <v>400</v>
      </c>
      <c r="AC34">
        <f t="shared" si="12"/>
        <v>350.67</v>
      </c>
      <c r="AD34" s="1">
        <f t="shared" si="30"/>
        <v>2.8516839193543785E-3</v>
      </c>
      <c r="AE34" s="14">
        <f t="shared" si="14"/>
        <v>2.375949469762946E-3</v>
      </c>
      <c r="AF34">
        <v>401</v>
      </c>
      <c r="AG34">
        <v>251</v>
      </c>
      <c r="AH34">
        <v>400</v>
      </c>
      <c r="AI34">
        <v>401</v>
      </c>
      <c r="AJ34">
        <v>151</v>
      </c>
      <c r="AK34">
        <v>301</v>
      </c>
      <c r="AL34">
        <v>608</v>
      </c>
      <c r="AM34">
        <f t="shared" si="15"/>
        <v>359</v>
      </c>
      <c r="AN34" s="1">
        <f t="shared" si="31"/>
        <v>2.7855153203342618E-3</v>
      </c>
      <c r="AO34" s="14">
        <f t="shared" si="17"/>
        <v>2.3414394586894491E-3</v>
      </c>
      <c r="AP34">
        <v>401</v>
      </c>
      <c r="AQ34">
        <v>251</v>
      </c>
      <c r="AR34">
        <v>400</v>
      </c>
      <c r="AS34">
        <v>401</v>
      </c>
      <c r="AT34">
        <v>151</v>
      </c>
      <c r="AU34">
        <v>301</v>
      </c>
      <c r="AV34">
        <v>608</v>
      </c>
      <c r="AW34">
        <f t="shared" si="18"/>
        <v>359</v>
      </c>
      <c r="AX34" s="1">
        <f t="shared" si="32"/>
        <v>2.7855153203342618E-3</v>
      </c>
      <c r="AY34" s="14">
        <f t="shared" si="29"/>
        <v>2.3375543748094083E-3</v>
      </c>
      <c r="AZ34">
        <v>401</v>
      </c>
      <c r="BA34">
        <v>251</v>
      </c>
      <c r="BB34">
        <v>400</v>
      </c>
      <c r="BC34">
        <v>401</v>
      </c>
      <c r="BD34">
        <v>151</v>
      </c>
      <c r="BE34">
        <v>301</v>
      </c>
      <c r="BF34">
        <v>608</v>
      </c>
      <c r="BG34">
        <f t="shared" si="20"/>
        <v>359</v>
      </c>
      <c r="BH34" s="1">
        <f t="shared" si="33"/>
        <v>2.7855153203342618E-3</v>
      </c>
      <c r="BI34" s="14">
        <f t="shared" si="22"/>
        <v>2.3371021990780767E-3</v>
      </c>
      <c r="BJ34">
        <v>401</v>
      </c>
      <c r="BK34">
        <v>251</v>
      </c>
      <c r="BL34">
        <v>375</v>
      </c>
      <c r="BM34">
        <v>401</v>
      </c>
      <c r="BN34">
        <v>151</v>
      </c>
      <c r="BO34">
        <v>301</v>
      </c>
      <c r="BP34">
        <v>539</v>
      </c>
      <c r="BQ34">
        <f t="shared" si="23"/>
        <v>345.57</v>
      </c>
      <c r="BR34" s="1">
        <f t="shared" si="34"/>
        <v>2.8937697138061752E-3</v>
      </c>
      <c r="BS34" s="14">
        <f t="shared" si="25"/>
        <v>2.4155919252990829E-3</v>
      </c>
      <c r="BT34">
        <v>401</v>
      </c>
      <c r="BU34">
        <v>251</v>
      </c>
      <c r="BV34">
        <v>375</v>
      </c>
      <c r="BW34">
        <v>401</v>
      </c>
      <c r="BX34">
        <v>151</v>
      </c>
      <c r="BY34">
        <v>301</v>
      </c>
      <c r="BZ34">
        <v>549</v>
      </c>
      <c r="CA34">
        <f t="shared" si="26"/>
        <v>347</v>
      </c>
      <c r="CB34" s="1">
        <f t="shared" si="35"/>
        <v>2.881844380403458E-3</v>
      </c>
      <c r="CC34" s="14">
        <f t="shared" si="28"/>
        <v>2.4166606739545412E-3</v>
      </c>
    </row>
    <row r="35" spans="1:81" x14ac:dyDescent="0.3">
      <c r="A35" s="5" t="s">
        <v>32</v>
      </c>
      <c r="B35">
        <v>401</v>
      </c>
      <c r="C35">
        <v>251</v>
      </c>
      <c r="D35">
        <v>375</v>
      </c>
      <c r="E35">
        <f t="shared" si="1"/>
        <v>342.33</v>
      </c>
      <c r="F35" s="1">
        <f t="shared" si="2"/>
        <v>2.9211579470101948E-3</v>
      </c>
      <c r="G35" s="14">
        <f t="shared" si="0"/>
        <v>2.5215107188583854E-3</v>
      </c>
      <c r="H35">
        <v>401</v>
      </c>
      <c r="I35">
        <v>251</v>
      </c>
      <c r="J35">
        <v>350</v>
      </c>
      <c r="K35">
        <f t="shared" si="3"/>
        <v>334</v>
      </c>
      <c r="L35" s="1">
        <f t="shared" si="4"/>
        <v>2.9940119760479044E-3</v>
      </c>
      <c r="M35" s="14">
        <f t="shared" si="5"/>
        <v>2.5384811108122001E-3</v>
      </c>
      <c r="N35">
        <v>401</v>
      </c>
      <c r="O35">
        <v>251</v>
      </c>
      <c r="P35">
        <v>400</v>
      </c>
      <c r="Q35">
        <f t="shared" si="6"/>
        <v>350.67</v>
      </c>
      <c r="R35" s="1">
        <f t="shared" si="7"/>
        <v>2.8516839193543785E-3</v>
      </c>
      <c r="S35" s="14">
        <f t="shared" si="8"/>
        <v>2.3777899172756911E-3</v>
      </c>
      <c r="T35">
        <v>401</v>
      </c>
      <c r="U35">
        <v>251</v>
      </c>
      <c r="V35">
        <v>400</v>
      </c>
      <c r="W35">
        <f t="shared" si="9"/>
        <v>350.67</v>
      </c>
      <c r="X35" s="1">
        <f t="shared" si="10"/>
        <v>2.8516839193543785E-3</v>
      </c>
      <c r="Y35" s="14">
        <f t="shared" si="11"/>
        <v>2.3777899172756911E-3</v>
      </c>
      <c r="Z35">
        <v>401</v>
      </c>
      <c r="AA35">
        <v>251</v>
      </c>
      <c r="AB35">
        <v>400</v>
      </c>
      <c r="AC35">
        <f t="shared" si="12"/>
        <v>350.67</v>
      </c>
      <c r="AD35" s="1">
        <f t="shared" si="30"/>
        <v>2.8516839193543785E-3</v>
      </c>
      <c r="AE35" s="14">
        <f t="shared" si="14"/>
        <v>2.375949469762946E-3</v>
      </c>
      <c r="AF35">
        <v>401</v>
      </c>
      <c r="AG35">
        <v>251</v>
      </c>
      <c r="AH35">
        <v>375</v>
      </c>
      <c r="AI35">
        <v>401</v>
      </c>
      <c r="AJ35">
        <v>251</v>
      </c>
      <c r="AK35">
        <v>351</v>
      </c>
      <c r="AL35">
        <v>539</v>
      </c>
      <c r="AM35">
        <f t="shared" si="15"/>
        <v>367</v>
      </c>
      <c r="AN35" s="1">
        <f t="shared" si="31"/>
        <v>2.7247956403269754E-3</v>
      </c>
      <c r="AO35" s="14">
        <f t="shared" si="17"/>
        <v>2.2903999064564366E-3</v>
      </c>
      <c r="AP35">
        <v>401</v>
      </c>
      <c r="AQ35">
        <v>251</v>
      </c>
      <c r="AR35">
        <v>400</v>
      </c>
      <c r="AS35">
        <v>401</v>
      </c>
      <c r="AT35">
        <v>251</v>
      </c>
      <c r="AU35">
        <v>351</v>
      </c>
      <c r="AV35">
        <v>539</v>
      </c>
      <c r="AW35">
        <f t="shared" si="18"/>
        <v>370.57</v>
      </c>
      <c r="AX35" s="1">
        <f t="shared" si="32"/>
        <v>2.6985454839841324E-3</v>
      </c>
      <c r="AY35" s="14">
        <f t="shared" si="29"/>
        <v>2.2645708518136318E-3</v>
      </c>
      <c r="AZ35">
        <v>401</v>
      </c>
      <c r="BA35">
        <v>251</v>
      </c>
      <c r="BB35">
        <v>400</v>
      </c>
      <c r="BC35">
        <v>401</v>
      </c>
      <c r="BD35">
        <v>251</v>
      </c>
      <c r="BE35">
        <v>351</v>
      </c>
      <c r="BF35">
        <v>598</v>
      </c>
      <c r="BG35">
        <f t="shared" si="20"/>
        <v>379</v>
      </c>
      <c r="BH35" s="1">
        <f t="shared" si="33"/>
        <v>2.6385224274406332E-3</v>
      </c>
      <c r="BI35" s="14">
        <f t="shared" si="22"/>
        <v>2.2137722677283101E-3</v>
      </c>
      <c r="BJ35">
        <v>401</v>
      </c>
      <c r="BK35">
        <v>251</v>
      </c>
      <c r="BL35">
        <v>400</v>
      </c>
      <c r="BM35">
        <v>401</v>
      </c>
      <c r="BN35">
        <v>251</v>
      </c>
      <c r="BO35">
        <v>351</v>
      </c>
      <c r="BP35">
        <v>657</v>
      </c>
      <c r="BQ35">
        <f t="shared" si="23"/>
        <v>387.43</v>
      </c>
      <c r="BR35" s="1">
        <f t="shared" si="34"/>
        <v>2.5811114265802855E-3</v>
      </c>
      <c r="BS35" s="14">
        <f t="shared" si="25"/>
        <v>2.1545985123134609E-3</v>
      </c>
      <c r="BT35">
        <v>401</v>
      </c>
      <c r="BU35">
        <v>251</v>
      </c>
      <c r="BV35">
        <v>400</v>
      </c>
      <c r="BW35">
        <v>401</v>
      </c>
      <c r="BX35">
        <v>251</v>
      </c>
      <c r="BY35">
        <v>351</v>
      </c>
      <c r="BZ35">
        <v>627</v>
      </c>
      <c r="CA35">
        <f t="shared" si="26"/>
        <v>383.14</v>
      </c>
      <c r="CB35" s="1">
        <f t="shared" si="35"/>
        <v>2.610012006055228E-3</v>
      </c>
      <c r="CC35" s="14">
        <f t="shared" si="28"/>
        <v>2.1887071406332566E-3</v>
      </c>
    </row>
    <row r="36" spans="1:81" x14ac:dyDescent="0.3">
      <c r="A36" s="5" t="s">
        <v>31</v>
      </c>
      <c r="B36">
        <v>501</v>
      </c>
      <c r="C36">
        <v>501</v>
      </c>
      <c r="D36">
        <v>500</v>
      </c>
      <c r="E36">
        <f t="shared" si="1"/>
        <v>500.67</v>
      </c>
      <c r="F36" s="1">
        <f t="shared" si="2"/>
        <v>1.9973235863942319E-3</v>
      </c>
      <c r="G36" s="14">
        <f t="shared" si="0"/>
        <v>1.7240672786202312E-3</v>
      </c>
      <c r="H36">
        <v>501</v>
      </c>
      <c r="I36">
        <v>501</v>
      </c>
      <c r="J36">
        <v>500</v>
      </c>
      <c r="K36">
        <f t="shared" si="3"/>
        <v>500.67</v>
      </c>
      <c r="L36" s="1">
        <f t="shared" si="4"/>
        <v>1.9973235863942319E-3</v>
      </c>
      <c r="M36" s="14">
        <f t="shared" si="5"/>
        <v>1.6934361775446398E-3</v>
      </c>
      <c r="N36">
        <v>501</v>
      </c>
      <c r="O36">
        <v>501</v>
      </c>
      <c r="P36">
        <v>500</v>
      </c>
      <c r="Q36">
        <f t="shared" si="6"/>
        <v>500.67</v>
      </c>
      <c r="R36" s="1">
        <f t="shared" si="7"/>
        <v>1.9973235863942319E-3</v>
      </c>
      <c r="S36" s="14">
        <f t="shared" si="8"/>
        <v>1.6654075344859224E-3</v>
      </c>
      <c r="T36">
        <v>501</v>
      </c>
      <c r="U36">
        <v>501</v>
      </c>
      <c r="V36">
        <v>500</v>
      </c>
      <c r="W36">
        <f t="shared" si="9"/>
        <v>500.67</v>
      </c>
      <c r="X36" s="1">
        <f t="shared" si="10"/>
        <v>1.9973235863942319E-3</v>
      </c>
      <c r="Y36" s="14">
        <f t="shared" si="11"/>
        <v>1.6654075344859224E-3</v>
      </c>
      <c r="Z36">
        <v>501</v>
      </c>
      <c r="AA36">
        <v>501</v>
      </c>
      <c r="AB36">
        <v>500</v>
      </c>
      <c r="AC36">
        <f t="shared" si="12"/>
        <v>500.67</v>
      </c>
      <c r="AD36" s="1">
        <f t="shared" si="30"/>
        <v>1.9973235863942319E-3</v>
      </c>
      <c r="AE36" s="14">
        <f t="shared" si="14"/>
        <v>1.6641184823571863E-3</v>
      </c>
      <c r="AF36">
        <v>501</v>
      </c>
      <c r="AG36">
        <v>501</v>
      </c>
      <c r="AH36">
        <v>500</v>
      </c>
      <c r="AI36">
        <v>501</v>
      </c>
      <c r="AJ36">
        <v>501</v>
      </c>
      <c r="AK36">
        <v>301</v>
      </c>
      <c r="AL36">
        <v>588</v>
      </c>
      <c r="AM36">
        <f t="shared" si="15"/>
        <v>484.71</v>
      </c>
      <c r="AN36" s="1">
        <f t="shared" si="31"/>
        <v>2.0630892698727077E-3</v>
      </c>
      <c r="AO36" s="14">
        <f t="shared" si="17"/>
        <v>1.7341849057570761E-3</v>
      </c>
      <c r="AP36">
        <v>501</v>
      </c>
      <c r="AQ36">
        <v>501</v>
      </c>
      <c r="AR36">
        <v>500</v>
      </c>
      <c r="AS36">
        <v>501</v>
      </c>
      <c r="AT36">
        <v>501</v>
      </c>
      <c r="AU36">
        <v>301</v>
      </c>
      <c r="AV36">
        <v>588</v>
      </c>
      <c r="AW36">
        <f t="shared" si="18"/>
        <v>484.71</v>
      </c>
      <c r="AX36" s="1">
        <f t="shared" si="32"/>
        <v>2.0630892698727077E-3</v>
      </c>
      <c r="AY36" s="14">
        <f t="shared" si="29"/>
        <v>1.7313074220803733E-3</v>
      </c>
      <c r="AZ36">
        <v>501</v>
      </c>
      <c r="BA36">
        <v>501</v>
      </c>
      <c r="BB36">
        <v>500</v>
      </c>
      <c r="BC36">
        <v>501</v>
      </c>
      <c r="BD36">
        <v>501</v>
      </c>
      <c r="BE36">
        <v>301</v>
      </c>
      <c r="BF36">
        <v>647</v>
      </c>
      <c r="BG36">
        <f t="shared" si="20"/>
        <v>493.14</v>
      </c>
      <c r="BH36" s="1">
        <f t="shared" si="33"/>
        <v>2.0278217139149128E-3</v>
      </c>
      <c r="BI36" s="14">
        <f t="shared" si="22"/>
        <v>1.7013823447074455E-3</v>
      </c>
      <c r="BJ36">
        <v>501</v>
      </c>
      <c r="BK36">
        <v>501</v>
      </c>
      <c r="BL36">
        <v>500</v>
      </c>
      <c r="BM36">
        <v>501</v>
      </c>
      <c r="BN36">
        <v>501</v>
      </c>
      <c r="BO36">
        <v>301</v>
      </c>
      <c r="BP36">
        <v>755</v>
      </c>
      <c r="BQ36">
        <f t="shared" si="23"/>
        <v>508.57</v>
      </c>
      <c r="BR36" s="1">
        <f t="shared" si="34"/>
        <v>1.9662976581394892E-3</v>
      </c>
      <c r="BS36" s="14">
        <f t="shared" si="25"/>
        <v>1.6413789677440747E-3</v>
      </c>
      <c r="BT36">
        <v>501</v>
      </c>
      <c r="BU36">
        <v>501</v>
      </c>
      <c r="BV36">
        <v>500</v>
      </c>
      <c r="BW36">
        <v>501</v>
      </c>
      <c r="BX36">
        <v>501</v>
      </c>
      <c r="BY36">
        <v>301</v>
      </c>
      <c r="BZ36">
        <v>706</v>
      </c>
      <c r="CA36">
        <f t="shared" si="26"/>
        <v>501.57</v>
      </c>
      <c r="CB36" s="1">
        <f t="shared" si="35"/>
        <v>1.9937396574755267E-3</v>
      </c>
      <c r="CC36" s="14">
        <f t="shared" si="28"/>
        <v>1.671912701840672E-3</v>
      </c>
    </row>
    <row r="37" spans="1:81" x14ac:dyDescent="0.3">
      <c r="A37" s="5" t="s">
        <v>33</v>
      </c>
      <c r="B37">
        <v>501</v>
      </c>
      <c r="C37">
        <v>501</v>
      </c>
      <c r="D37">
        <v>500</v>
      </c>
      <c r="E37">
        <f t="shared" si="1"/>
        <v>500.67</v>
      </c>
      <c r="F37" s="1">
        <f t="shared" si="2"/>
        <v>1.9973235863942319E-3</v>
      </c>
      <c r="G37" s="14">
        <f t="shared" si="0"/>
        <v>1.7240672786202312E-3</v>
      </c>
      <c r="H37">
        <v>501</v>
      </c>
      <c r="I37">
        <v>501</v>
      </c>
      <c r="J37">
        <v>550</v>
      </c>
      <c r="K37">
        <f t="shared" si="3"/>
        <v>517.33000000000004</v>
      </c>
      <c r="L37" s="1">
        <f t="shared" si="4"/>
        <v>1.9330021456323814E-3</v>
      </c>
      <c r="M37" s="14">
        <f t="shared" si="5"/>
        <v>1.6389010709049825E-3</v>
      </c>
      <c r="N37">
        <v>501</v>
      </c>
      <c r="O37">
        <v>501</v>
      </c>
      <c r="P37">
        <v>500</v>
      </c>
      <c r="Q37">
        <f t="shared" si="6"/>
        <v>500.67</v>
      </c>
      <c r="R37" s="1">
        <f t="shared" si="7"/>
        <v>1.9973235863942319E-3</v>
      </c>
      <c r="S37" s="14">
        <f t="shared" si="8"/>
        <v>1.6654075344859224E-3</v>
      </c>
      <c r="T37">
        <v>501</v>
      </c>
      <c r="U37">
        <v>501</v>
      </c>
      <c r="V37">
        <v>500</v>
      </c>
      <c r="W37">
        <f t="shared" si="9"/>
        <v>500.67</v>
      </c>
      <c r="X37" s="1">
        <f t="shared" si="10"/>
        <v>1.9973235863942319E-3</v>
      </c>
      <c r="Y37" s="14">
        <f t="shared" si="11"/>
        <v>1.6654075344859224E-3</v>
      </c>
      <c r="Z37">
        <v>501</v>
      </c>
      <c r="AA37">
        <v>501</v>
      </c>
      <c r="AB37">
        <v>500</v>
      </c>
      <c r="AC37">
        <f t="shared" si="12"/>
        <v>500.67</v>
      </c>
      <c r="AD37" s="1">
        <f t="shared" si="30"/>
        <v>1.9973235863942319E-3</v>
      </c>
      <c r="AE37" s="14">
        <f t="shared" si="14"/>
        <v>1.6641184823571863E-3</v>
      </c>
      <c r="AF37">
        <v>501</v>
      </c>
      <c r="AG37">
        <v>501</v>
      </c>
      <c r="AH37">
        <v>500</v>
      </c>
      <c r="AJ37">
        <v>501</v>
      </c>
      <c r="AK37">
        <v>301</v>
      </c>
      <c r="AL37">
        <v>980</v>
      </c>
      <c r="AM37">
        <f t="shared" si="15"/>
        <v>547.33000000000004</v>
      </c>
      <c r="AN37" s="1">
        <f t="shared" si="31"/>
        <v>1.8270513218716312E-3</v>
      </c>
      <c r="AO37" s="14">
        <f t="shared" si="17"/>
        <v>1.5357768908510626E-3</v>
      </c>
      <c r="AP37">
        <v>501</v>
      </c>
      <c r="AQ37">
        <v>501</v>
      </c>
      <c r="AR37">
        <v>500</v>
      </c>
      <c r="AT37">
        <v>501</v>
      </c>
      <c r="AU37">
        <v>301</v>
      </c>
      <c r="AV37">
        <v>980</v>
      </c>
      <c r="AW37">
        <f t="shared" si="18"/>
        <v>547.33000000000004</v>
      </c>
      <c r="AX37" s="1">
        <f t="shared" si="32"/>
        <v>1.8270513218716312E-3</v>
      </c>
      <c r="AY37" s="14">
        <f t="shared" si="29"/>
        <v>1.5332286199488015E-3</v>
      </c>
      <c r="AZ37">
        <v>501</v>
      </c>
      <c r="BA37">
        <v>501</v>
      </c>
      <c r="BB37">
        <v>500</v>
      </c>
      <c r="BD37">
        <v>501</v>
      </c>
      <c r="BE37">
        <v>301</v>
      </c>
      <c r="BF37">
        <v>882</v>
      </c>
      <c r="BG37">
        <f t="shared" si="20"/>
        <v>531</v>
      </c>
      <c r="BH37" s="1">
        <f t="shared" si="33"/>
        <v>1.8832391713747645E-3</v>
      </c>
      <c r="BI37" s="14">
        <f t="shared" si="22"/>
        <v>1.5800747447627674E-3</v>
      </c>
      <c r="BJ37">
        <v>501</v>
      </c>
      <c r="BK37">
        <v>501</v>
      </c>
      <c r="BL37">
        <v>500</v>
      </c>
      <c r="BN37">
        <v>501</v>
      </c>
      <c r="BO37">
        <v>301</v>
      </c>
      <c r="BP37">
        <v>980</v>
      </c>
      <c r="BQ37">
        <f t="shared" si="23"/>
        <v>547.33000000000004</v>
      </c>
      <c r="BR37" s="1">
        <f t="shared" si="34"/>
        <v>1.8270513218716312E-3</v>
      </c>
      <c r="BS37" s="14">
        <f t="shared" si="25"/>
        <v>1.5251422389154698E-3</v>
      </c>
      <c r="BT37">
        <v>501</v>
      </c>
      <c r="BU37">
        <v>501</v>
      </c>
      <c r="BV37">
        <v>500</v>
      </c>
      <c r="BX37">
        <v>501</v>
      </c>
      <c r="BY37">
        <v>301</v>
      </c>
      <c r="BZ37">
        <v>980</v>
      </c>
      <c r="CA37">
        <f t="shared" si="26"/>
        <v>547.33000000000004</v>
      </c>
      <c r="CB37" s="1">
        <f t="shared" si="35"/>
        <v>1.8270513218716312E-3</v>
      </c>
      <c r="CC37" s="14">
        <f t="shared" si="28"/>
        <v>1.5321309883657497E-3</v>
      </c>
    </row>
    <row r="38" spans="1:81" x14ac:dyDescent="0.3">
      <c r="A38" s="5" t="s">
        <v>34</v>
      </c>
      <c r="B38">
        <v>501</v>
      </c>
      <c r="C38">
        <v>251</v>
      </c>
      <c r="D38">
        <v>500</v>
      </c>
      <c r="E38">
        <f t="shared" si="1"/>
        <v>417.33</v>
      </c>
      <c r="F38" s="1">
        <f t="shared" si="2"/>
        <v>2.3961852730453119E-3</v>
      </c>
      <c r="G38" s="14">
        <f t="shared" si="0"/>
        <v>2.0683602050818087E-3</v>
      </c>
      <c r="H38">
        <v>501</v>
      </c>
      <c r="I38">
        <v>251</v>
      </c>
      <c r="J38">
        <v>500</v>
      </c>
      <c r="K38">
        <f t="shared" si="3"/>
        <v>417.33</v>
      </c>
      <c r="L38" s="1">
        <f t="shared" si="4"/>
        <v>2.3961852730453119E-3</v>
      </c>
      <c r="M38" s="14">
        <f t="shared" si="5"/>
        <v>2.0316121319130537E-3</v>
      </c>
      <c r="N38">
        <v>501</v>
      </c>
      <c r="O38">
        <v>501</v>
      </c>
      <c r="P38">
        <v>500</v>
      </c>
      <c r="Q38">
        <f t="shared" si="6"/>
        <v>500.67</v>
      </c>
      <c r="R38" s="1">
        <f t="shared" si="7"/>
        <v>1.9973235863942319E-3</v>
      </c>
      <c r="S38" s="14">
        <f t="shared" si="8"/>
        <v>1.6654075344859224E-3</v>
      </c>
      <c r="T38">
        <v>501</v>
      </c>
      <c r="U38">
        <v>501</v>
      </c>
      <c r="V38">
        <v>500</v>
      </c>
      <c r="W38">
        <f t="shared" si="9"/>
        <v>500.67</v>
      </c>
      <c r="X38" s="1">
        <f t="shared" si="10"/>
        <v>1.9973235863942319E-3</v>
      </c>
      <c r="Y38" s="14">
        <f t="shared" si="11"/>
        <v>1.6654075344859224E-3</v>
      </c>
      <c r="Z38">
        <v>501</v>
      </c>
      <c r="AA38">
        <v>501</v>
      </c>
      <c r="AB38">
        <v>500</v>
      </c>
      <c r="AC38">
        <f t="shared" si="12"/>
        <v>500.67</v>
      </c>
      <c r="AD38" s="1">
        <f t="shared" si="30"/>
        <v>1.9973235863942319E-3</v>
      </c>
      <c r="AE38" s="14">
        <f t="shared" si="14"/>
        <v>1.6641184823571863E-3</v>
      </c>
      <c r="AF38">
        <v>501</v>
      </c>
      <c r="AG38">
        <v>501</v>
      </c>
      <c r="AH38">
        <v>500</v>
      </c>
      <c r="AI38">
        <v>501</v>
      </c>
      <c r="AJ38">
        <v>501</v>
      </c>
      <c r="AK38">
        <v>501</v>
      </c>
      <c r="AL38">
        <v>755</v>
      </c>
      <c r="AM38">
        <f t="shared" si="15"/>
        <v>537.14</v>
      </c>
      <c r="AN38" s="1">
        <f t="shared" si="31"/>
        <v>1.8617120303831404E-3</v>
      </c>
      <c r="AO38" s="14">
        <f t="shared" si="17"/>
        <v>1.5649118771074808E-3</v>
      </c>
      <c r="AP38">
        <v>501</v>
      </c>
      <c r="AQ38">
        <v>501</v>
      </c>
      <c r="AR38">
        <v>500</v>
      </c>
      <c r="AS38">
        <v>501</v>
      </c>
      <c r="AT38">
        <v>501</v>
      </c>
      <c r="AU38">
        <v>501</v>
      </c>
      <c r="AV38">
        <v>755</v>
      </c>
      <c r="AW38">
        <f t="shared" si="18"/>
        <v>537.14</v>
      </c>
      <c r="AX38" s="1">
        <f t="shared" si="32"/>
        <v>1.8617120303831404E-3</v>
      </c>
      <c r="AY38" s="14">
        <f t="shared" si="29"/>
        <v>1.5623152633514124E-3</v>
      </c>
      <c r="AZ38">
        <v>501</v>
      </c>
      <c r="BA38">
        <v>501</v>
      </c>
      <c r="BB38">
        <v>500</v>
      </c>
      <c r="BC38">
        <v>501</v>
      </c>
      <c r="BD38">
        <v>501</v>
      </c>
      <c r="BE38">
        <v>501</v>
      </c>
      <c r="BF38">
        <v>911</v>
      </c>
      <c r="BG38">
        <f t="shared" si="20"/>
        <v>559.42999999999995</v>
      </c>
      <c r="BH38" s="1">
        <f t="shared" si="33"/>
        <v>1.7875337396993369E-3</v>
      </c>
      <c r="BI38" s="14">
        <f t="shared" si="22"/>
        <v>1.4997760031979508E-3</v>
      </c>
      <c r="BJ38">
        <v>501</v>
      </c>
      <c r="BK38">
        <v>501</v>
      </c>
      <c r="BL38">
        <v>500</v>
      </c>
      <c r="BM38">
        <v>501</v>
      </c>
      <c r="BN38">
        <v>501</v>
      </c>
      <c r="BO38">
        <v>501</v>
      </c>
      <c r="BP38">
        <v>980</v>
      </c>
      <c r="BQ38">
        <f t="shared" si="23"/>
        <v>569.29</v>
      </c>
      <c r="BR38" s="1">
        <f t="shared" si="34"/>
        <v>1.7565739781130883E-3</v>
      </c>
      <c r="BS38" s="14">
        <f t="shared" si="25"/>
        <v>1.4663108461866609E-3</v>
      </c>
      <c r="BT38">
        <v>501</v>
      </c>
      <c r="BU38">
        <v>501</v>
      </c>
      <c r="BV38">
        <v>500</v>
      </c>
      <c r="BW38">
        <v>501</v>
      </c>
      <c r="BX38">
        <v>501</v>
      </c>
      <c r="BY38">
        <v>501</v>
      </c>
      <c r="BZ38">
        <v>980</v>
      </c>
      <c r="CA38">
        <f t="shared" si="26"/>
        <v>569.29</v>
      </c>
      <c r="CB38" s="1">
        <f t="shared" si="35"/>
        <v>1.7565739781130883E-3</v>
      </c>
      <c r="CC38" s="14">
        <f t="shared" si="28"/>
        <v>1.4730300090678317E-3</v>
      </c>
    </row>
    <row r="39" spans="1:81" x14ac:dyDescent="0.3">
      <c r="A39" s="5" t="s">
        <v>30</v>
      </c>
      <c r="B39">
        <v>501</v>
      </c>
      <c r="C39">
        <v>151</v>
      </c>
      <c r="D39">
        <v>450</v>
      </c>
      <c r="E39">
        <f t="shared" si="1"/>
        <v>367.33</v>
      </c>
      <c r="F39" s="1">
        <f t="shared" si="2"/>
        <v>2.7223477527019303E-3</v>
      </c>
      <c r="G39" s="14">
        <f t="shared" si="0"/>
        <v>2.349899992885937E-3</v>
      </c>
      <c r="H39">
        <v>501</v>
      </c>
      <c r="I39">
        <v>151</v>
      </c>
      <c r="J39">
        <v>400</v>
      </c>
      <c r="K39">
        <f t="shared" si="3"/>
        <v>350.67</v>
      </c>
      <c r="L39" s="1">
        <f t="shared" si="4"/>
        <v>2.8516839193543785E-3</v>
      </c>
      <c r="M39" s="14">
        <f t="shared" si="5"/>
        <v>2.4178078849381888E-3</v>
      </c>
      <c r="N39">
        <v>501</v>
      </c>
      <c r="O39">
        <v>251</v>
      </c>
      <c r="P39">
        <v>500</v>
      </c>
      <c r="Q39">
        <f t="shared" si="6"/>
        <v>417.33</v>
      </c>
      <c r="R39" s="1">
        <f t="shared" si="7"/>
        <v>2.3961852730453119E-3</v>
      </c>
      <c r="S39" s="14">
        <f t="shared" si="8"/>
        <v>1.9979862226321295E-3</v>
      </c>
      <c r="T39">
        <v>501</v>
      </c>
      <c r="U39">
        <v>251</v>
      </c>
      <c r="V39">
        <v>500</v>
      </c>
      <c r="W39">
        <f t="shared" si="9"/>
        <v>417.33</v>
      </c>
      <c r="X39" s="1">
        <f t="shared" si="10"/>
        <v>2.3961852730453119E-3</v>
      </c>
      <c r="Y39" s="14">
        <f t="shared" si="11"/>
        <v>1.9979862226321295E-3</v>
      </c>
      <c r="Z39">
        <v>501</v>
      </c>
      <c r="AA39">
        <v>251</v>
      </c>
      <c r="AB39">
        <v>500</v>
      </c>
      <c r="AC39">
        <f t="shared" si="12"/>
        <v>417.33</v>
      </c>
      <c r="AD39" s="1">
        <f t="shared" si="30"/>
        <v>2.3961852730453119E-3</v>
      </c>
      <c r="AE39" s="14">
        <f t="shared" si="14"/>
        <v>1.9964397492674203E-3</v>
      </c>
      <c r="AF39">
        <v>501</v>
      </c>
      <c r="AG39">
        <v>251</v>
      </c>
      <c r="AH39">
        <v>500</v>
      </c>
      <c r="AI39">
        <v>476</v>
      </c>
      <c r="AJ39">
        <v>201</v>
      </c>
      <c r="AK39">
        <v>301</v>
      </c>
      <c r="AL39">
        <v>421</v>
      </c>
      <c r="AM39">
        <f t="shared" si="15"/>
        <v>378.71</v>
      </c>
      <c r="AN39" s="1">
        <f t="shared" si="31"/>
        <v>2.6405428956193396E-3</v>
      </c>
      <c r="AO39" s="14">
        <f t="shared" si="17"/>
        <v>2.219579006811313E-3</v>
      </c>
      <c r="AP39">
        <v>501</v>
      </c>
      <c r="AQ39">
        <v>251</v>
      </c>
      <c r="AR39">
        <v>500</v>
      </c>
      <c r="AS39">
        <v>501</v>
      </c>
      <c r="AT39">
        <v>201</v>
      </c>
      <c r="AU39">
        <v>301</v>
      </c>
      <c r="AV39">
        <v>421</v>
      </c>
      <c r="AW39">
        <f t="shared" si="18"/>
        <v>382.29</v>
      </c>
      <c r="AX39" s="1">
        <f t="shared" si="32"/>
        <v>2.6158152188129431E-3</v>
      </c>
      <c r="AY39" s="14">
        <f t="shared" si="29"/>
        <v>2.1951451007260919E-3</v>
      </c>
      <c r="AZ39">
        <v>501</v>
      </c>
      <c r="BA39">
        <v>251</v>
      </c>
      <c r="BB39">
        <v>500</v>
      </c>
      <c r="BC39">
        <v>501</v>
      </c>
      <c r="BD39">
        <v>201</v>
      </c>
      <c r="BE39">
        <v>301</v>
      </c>
      <c r="BF39">
        <v>421</v>
      </c>
      <c r="BG39">
        <f t="shared" si="20"/>
        <v>382.29</v>
      </c>
      <c r="BH39" s="1">
        <f t="shared" si="33"/>
        <v>2.6158152188129431E-3</v>
      </c>
      <c r="BI39" s="14">
        <f t="shared" si="22"/>
        <v>2.194720472596797E-3</v>
      </c>
      <c r="BJ39">
        <v>501</v>
      </c>
      <c r="BK39">
        <v>251</v>
      </c>
      <c r="BL39">
        <v>500</v>
      </c>
      <c r="BM39">
        <v>501</v>
      </c>
      <c r="BN39">
        <v>201</v>
      </c>
      <c r="BO39">
        <v>301</v>
      </c>
      <c r="BP39">
        <v>461</v>
      </c>
      <c r="BQ39">
        <f t="shared" si="23"/>
        <v>388</v>
      </c>
      <c r="BR39" s="1">
        <f t="shared" si="34"/>
        <v>2.5773195876288659E-3</v>
      </c>
      <c r="BS39" s="14">
        <f t="shared" si="25"/>
        <v>2.1514332516123819E-3</v>
      </c>
      <c r="BT39">
        <v>501</v>
      </c>
      <c r="BU39">
        <v>251</v>
      </c>
      <c r="BV39">
        <v>500</v>
      </c>
      <c r="BW39">
        <v>476</v>
      </c>
      <c r="BX39">
        <v>201</v>
      </c>
      <c r="BY39">
        <v>301</v>
      </c>
      <c r="BZ39">
        <v>490</v>
      </c>
      <c r="CA39">
        <f t="shared" si="26"/>
        <v>388.57</v>
      </c>
      <c r="CB39" s="1">
        <f t="shared" si="35"/>
        <v>2.5735388733046814E-3</v>
      </c>
      <c r="CC39" s="14">
        <f t="shared" si="28"/>
        <v>2.1581214552390199E-3</v>
      </c>
    </row>
    <row r="40" spans="1:81" x14ac:dyDescent="0.3">
      <c r="A40" s="5" t="s">
        <v>58</v>
      </c>
      <c r="B40">
        <v>501</v>
      </c>
      <c r="C40">
        <v>251</v>
      </c>
      <c r="D40">
        <v>500</v>
      </c>
      <c r="E40">
        <f t="shared" si="1"/>
        <v>417.33</v>
      </c>
      <c r="F40" s="1">
        <f t="shared" si="2"/>
        <v>2.3961852730453119E-3</v>
      </c>
      <c r="G40" s="14">
        <f t="shared" si="0"/>
        <v>2.0683602050818087E-3</v>
      </c>
      <c r="H40" s="34">
        <v>301</v>
      </c>
      <c r="I40">
        <v>251</v>
      </c>
      <c r="J40">
        <v>450</v>
      </c>
      <c r="K40">
        <f t="shared" si="3"/>
        <v>334</v>
      </c>
      <c r="L40" s="35">
        <f t="shared" si="4"/>
        <v>2.9940119760479044E-3</v>
      </c>
      <c r="M40" s="36">
        <f t="shared" si="5"/>
        <v>2.5384811108122001E-3</v>
      </c>
      <c r="N40">
        <v>301</v>
      </c>
      <c r="O40">
        <v>201</v>
      </c>
      <c r="P40">
        <v>300</v>
      </c>
      <c r="Q40">
        <f t="shared" si="6"/>
        <v>267.33</v>
      </c>
      <c r="R40" s="1">
        <f t="shared" si="7"/>
        <v>3.7406950211349272E-3</v>
      </c>
      <c r="S40" s="14">
        <f t="shared" si="8"/>
        <v>3.1190647899265577E-3</v>
      </c>
      <c r="T40">
        <v>301</v>
      </c>
      <c r="U40">
        <v>201</v>
      </c>
      <c r="V40">
        <v>300</v>
      </c>
      <c r="W40">
        <f t="shared" si="9"/>
        <v>267.33</v>
      </c>
      <c r="X40" s="1">
        <f t="shared" si="10"/>
        <v>3.7406950211349272E-3</v>
      </c>
      <c r="Y40" s="14">
        <f t="shared" si="11"/>
        <v>3.1190647899265577E-3</v>
      </c>
      <c r="Z40">
        <v>301</v>
      </c>
      <c r="AA40">
        <v>201</v>
      </c>
      <c r="AB40">
        <v>300</v>
      </c>
      <c r="AC40">
        <f t="shared" si="12"/>
        <v>267.33</v>
      </c>
      <c r="AD40" s="1">
        <f t="shared" si="30"/>
        <v>3.7406950211349272E-3</v>
      </c>
      <c r="AE40" s="14">
        <f t="shared" si="14"/>
        <v>3.1166505837794951E-3</v>
      </c>
      <c r="AF40">
        <v>301</v>
      </c>
      <c r="AG40">
        <v>201</v>
      </c>
      <c r="AH40">
        <v>300</v>
      </c>
      <c r="AI40">
        <v>301</v>
      </c>
      <c r="AJ40">
        <v>151</v>
      </c>
      <c r="AK40">
        <v>201</v>
      </c>
      <c r="AL40">
        <v>372</v>
      </c>
      <c r="AM40">
        <f t="shared" si="15"/>
        <v>261</v>
      </c>
      <c r="AN40" s="1">
        <f t="shared" si="31"/>
        <v>3.8314176245210726E-3</v>
      </c>
      <c r="AO40" s="14">
        <f t="shared" si="17"/>
        <v>3.2206006347490889E-3</v>
      </c>
      <c r="AP40">
        <v>301</v>
      </c>
      <c r="AQ40">
        <v>201</v>
      </c>
      <c r="AR40">
        <v>300</v>
      </c>
      <c r="AS40">
        <v>301</v>
      </c>
      <c r="AT40">
        <v>151</v>
      </c>
      <c r="AU40">
        <v>201</v>
      </c>
      <c r="AV40">
        <v>372</v>
      </c>
      <c r="AW40">
        <f t="shared" si="18"/>
        <v>261</v>
      </c>
      <c r="AX40" s="1">
        <f t="shared" si="32"/>
        <v>3.8314176245210726E-3</v>
      </c>
      <c r="AY40" s="14">
        <f t="shared" si="29"/>
        <v>3.2152567837416767E-3</v>
      </c>
      <c r="AZ40">
        <v>301</v>
      </c>
      <c r="BA40">
        <v>201</v>
      </c>
      <c r="BB40">
        <v>300</v>
      </c>
      <c r="BC40">
        <v>301</v>
      </c>
      <c r="BD40">
        <v>151</v>
      </c>
      <c r="BE40">
        <v>201</v>
      </c>
      <c r="BF40">
        <v>392</v>
      </c>
      <c r="BG40">
        <f t="shared" si="20"/>
        <v>263.86</v>
      </c>
      <c r="BH40" s="1">
        <f t="shared" si="33"/>
        <v>3.7898885772758278E-3</v>
      </c>
      <c r="BI40" s="14">
        <f t="shared" si="22"/>
        <v>3.1797911372281871E-3</v>
      </c>
      <c r="BJ40">
        <v>301</v>
      </c>
      <c r="BK40">
        <v>201</v>
      </c>
      <c r="BL40">
        <v>300</v>
      </c>
      <c r="BM40">
        <v>301</v>
      </c>
      <c r="BN40">
        <v>151</v>
      </c>
      <c r="BO40">
        <v>201</v>
      </c>
      <c r="BP40">
        <v>402</v>
      </c>
      <c r="BQ40">
        <f t="shared" si="23"/>
        <v>265.29000000000002</v>
      </c>
      <c r="BR40" s="1">
        <f t="shared" si="34"/>
        <v>3.7694598364054429E-3</v>
      </c>
      <c r="BS40" s="14">
        <f t="shared" si="25"/>
        <v>3.1465795982720951E-3</v>
      </c>
      <c r="BT40">
        <v>301</v>
      </c>
      <c r="BU40">
        <v>201</v>
      </c>
      <c r="BV40">
        <v>300</v>
      </c>
      <c r="BW40">
        <v>301</v>
      </c>
      <c r="BX40">
        <v>151</v>
      </c>
      <c r="BY40">
        <v>201</v>
      </c>
      <c r="BZ40">
        <v>431</v>
      </c>
      <c r="CA40">
        <f t="shared" si="26"/>
        <v>269.43</v>
      </c>
      <c r="CB40" s="1">
        <f t="shared" si="35"/>
        <v>3.711539175295995E-3</v>
      </c>
      <c r="CC40" s="14">
        <f t="shared" si="28"/>
        <v>3.112427175378487E-3</v>
      </c>
    </row>
    <row r="41" spans="1:81" x14ac:dyDescent="0.3">
      <c r="A41" s="5" t="s">
        <v>59</v>
      </c>
      <c r="B41">
        <v>751</v>
      </c>
      <c r="D41">
        <v>750</v>
      </c>
      <c r="E41">
        <f t="shared" si="1"/>
        <v>750.5</v>
      </c>
      <c r="F41" s="1">
        <f t="shared" si="2"/>
        <v>1.3324450366422385E-3</v>
      </c>
      <c r="G41" s="14">
        <f t="shared" si="0"/>
        <v>1.1501515847925266E-3</v>
      </c>
      <c r="H41">
        <v>751</v>
      </c>
      <c r="J41">
        <v>750</v>
      </c>
      <c r="K41">
        <f t="shared" si="3"/>
        <v>750.5</v>
      </c>
      <c r="L41" s="1">
        <f t="shared" si="4"/>
        <v>1.3324450366422385E-3</v>
      </c>
      <c r="M41" s="14">
        <f t="shared" si="5"/>
        <v>1.1297171099417386E-3</v>
      </c>
      <c r="N41">
        <v>751</v>
      </c>
      <c r="O41">
        <v>751</v>
      </c>
      <c r="P41">
        <v>750</v>
      </c>
      <c r="Q41">
        <f t="shared" si="6"/>
        <v>750.67</v>
      </c>
      <c r="R41" s="1">
        <f t="shared" si="7"/>
        <v>1.3321432853317704E-3</v>
      </c>
      <c r="S41" s="14">
        <f t="shared" si="8"/>
        <v>1.1107671683843322E-3</v>
      </c>
      <c r="T41">
        <v>751</v>
      </c>
      <c r="U41">
        <v>751</v>
      </c>
      <c r="V41">
        <v>750</v>
      </c>
      <c r="W41">
        <f t="shared" si="9"/>
        <v>750.67</v>
      </c>
      <c r="X41" s="1">
        <f t="shared" si="10"/>
        <v>1.3321432853317704E-3</v>
      </c>
      <c r="Y41" s="14">
        <f t="shared" si="11"/>
        <v>1.1107671683843322E-3</v>
      </c>
      <c r="Z41">
        <v>751</v>
      </c>
      <c r="AA41">
        <v>751</v>
      </c>
      <c r="AB41">
        <v>750</v>
      </c>
      <c r="AC41">
        <f t="shared" si="12"/>
        <v>750.67</v>
      </c>
      <c r="AD41" s="1">
        <f t="shared" si="30"/>
        <v>1.3321432853317704E-3</v>
      </c>
      <c r="AE41" s="14">
        <f t="shared" si="14"/>
        <v>1.1099074167900309E-3</v>
      </c>
      <c r="AF41">
        <v>751</v>
      </c>
      <c r="AG41">
        <v>751</v>
      </c>
      <c r="AH41">
        <v>750</v>
      </c>
      <c r="AI41">
        <v>751</v>
      </c>
      <c r="AJ41">
        <v>751</v>
      </c>
      <c r="AK41">
        <v>501</v>
      </c>
      <c r="AL41">
        <v>980</v>
      </c>
      <c r="AM41">
        <f t="shared" si="15"/>
        <v>747.86</v>
      </c>
      <c r="AN41" s="1">
        <f t="shared" si="31"/>
        <v>1.3371486641884844E-3</v>
      </c>
      <c r="AO41" s="14">
        <f t="shared" si="17"/>
        <v>1.123976099362865E-3</v>
      </c>
      <c r="AP41">
        <v>751</v>
      </c>
      <c r="AQ41">
        <v>751</v>
      </c>
      <c r="AR41">
        <v>750</v>
      </c>
      <c r="AS41">
        <v>751</v>
      </c>
      <c r="AT41">
        <v>751</v>
      </c>
      <c r="AU41">
        <v>501</v>
      </c>
      <c r="AV41">
        <v>980</v>
      </c>
      <c r="AW41">
        <f t="shared" si="18"/>
        <v>747.86</v>
      </c>
      <c r="AX41" s="1">
        <f t="shared" si="32"/>
        <v>1.3371486641884844E-3</v>
      </c>
      <c r="AY41" s="14">
        <f t="shared" si="29"/>
        <v>1.1221111177982211E-3</v>
      </c>
      <c r="AZ41">
        <v>751</v>
      </c>
      <c r="BA41">
        <v>751</v>
      </c>
      <c r="BB41">
        <v>750</v>
      </c>
      <c r="BC41">
        <v>751</v>
      </c>
      <c r="BD41">
        <v>751</v>
      </c>
      <c r="BE41">
        <v>501</v>
      </c>
      <c r="BF41">
        <v>980</v>
      </c>
      <c r="BG41">
        <f t="shared" si="20"/>
        <v>747.86</v>
      </c>
      <c r="BH41" s="1">
        <f t="shared" si="33"/>
        <v>1.3371486641884844E-3</v>
      </c>
      <c r="BI41" s="14">
        <f t="shared" si="22"/>
        <v>1.1218940570013498E-3</v>
      </c>
      <c r="BJ41">
        <v>751</v>
      </c>
      <c r="BK41">
        <v>751</v>
      </c>
      <c r="BL41">
        <v>750</v>
      </c>
      <c r="BM41">
        <v>751</v>
      </c>
      <c r="BN41">
        <v>751</v>
      </c>
      <c r="BO41">
        <v>501</v>
      </c>
      <c r="BP41">
        <v>980</v>
      </c>
      <c r="BQ41">
        <f t="shared" si="23"/>
        <v>747.86</v>
      </c>
      <c r="BR41" s="1">
        <f t="shared" si="34"/>
        <v>1.3371486641884844E-3</v>
      </c>
      <c r="BS41" s="14">
        <f t="shared" si="25"/>
        <v>1.1161930062118632E-3</v>
      </c>
      <c r="BT41">
        <v>751</v>
      </c>
      <c r="BU41">
        <v>751</v>
      </c>
      <c r="BV41">
        <v>750</v>
      </c>
      <c r="BW41">
        <v>751</v>
      </c>
      <c r="BX41">
        <v>751</v>
      </c>
      <c r="BY41">
        <v>501</v>
      </c>
      <c r="BZ41">
        <v>980</v>
      </c>
      <c r="CA41">
        <f t="shared" si="26"/>
        <v>747.86</v>
      </c>
      <c r="CB41" s="1">
        <f t="shared" si="35"/>
        <v>1.3371486641884844E-3</v>
      </c>
      <c r="CC41" s="14">
        <f t="shared" si="28"/>
        <v>1.1213078034153796E-3</v>
      </c>
    </row>
    <row r="42" spans="1:81" x14ac:dyDescent="0.3">
      <c r="A42" s="5" t="s">
        <v>60</v>
      </c>
      <c r="B42">
        <v>1001</v>
      </c>
      <c r="C42">
        <v>501</v>
      </c>
      <c r="D42">
        <v>950</v>
      </c>
      <c r="E42">
        <f t="shared" si="1"/>
        <v>817.33</v>
      </c>
      <c r="F42" s="1">
        <f t="shared" si="2"/>
        <v>1.2234960175204629E-3</v>
      </c>
      <c r="G42" s="14">
        <f t="shared" si="0"/>
        <v>1.0561080155956481E-3</v>
      </c>
      <c r="H42">
        <v>1001</v>
      </c>
      <c r="I42">
        <v>501</v>
      </c>
      <c r="J42">
        <v>900</v>
      </c>
      <c r="K42">
        <f t="shared" si="3"/>
        <v>800.67</v>
      </c>
      <c r="L42" s="1">
        <f t="shared" si="4"/>
        <v>1.2489540010241424E-3</v>
      </c>
      <c r="M42" s="14">
        <f t="shared" si="5"/>
        <v>1.0589290107176175E-3</v>
      </c>
      <c r="N42">
        <v>1001</v>
      </c>
      <c r="O42">
        <v>1001</v>
      </c>
      <c r="P42">
        <v>1000</v>
      </c>
      <c r="Q42">
        <f t="shared" si="6"/>
        <v>1000.67</v>
      </c>
      <c r="R42" s="1">
        <f t="shared" si="7"/>
        <v>9.9933044859943851E-4</v>
      </c>
      <c r="S42" s="14">
        <f t="shared" si="8"/>
        <v>8.3326130521657171E-4</v>
      </c>
      <c r="T42">
        <v>1001</v>
      </c>
      <c r="U42">
        <v>1001</v>
      </c>
      <c r="V42">
        <v>1000</v>
      </c>
      <c r="W42">
        <f t="shared" si="9"/>
        <v>1000.67</v>
      </c>
      <c r="X42" s="1">
        <f t="shared" si="10"/>
        <v>9.9933044859943851E-4</v>
      </c>
      <c r="Y42" s="14">
        <f t="shared" si="11"/>
        <v>8.3326130521657171E-4</v>
      </c>
      <c r="Z42">
        <v>1001</v>
      </c>
      <c r="AA42">
        <v>1001</v>
      </c>
      <c r="AB42">
        <v>1000</v>
      </c>
      <c r="AC42">
        <f t="shared" si="12"/>
        <v>1000.67</v>
      </c>
      <c r="AD42" s="1">
        <f t="shared" si="30"/>
        <v>9.9933044859943851E-4</v>
      </c>
      <c r="AE42" s="14">
        <f t="shared" si="14"/>
        <v>8.3261634760887452E-4</v>
      </c>
      <c r="AF42">
        <v>1001</v>
      </c>
      <c r="AG42">
        <v>1001</v>
      </c>
      <c r="AH42">
        <v>950</v>
      </c>
      <c r="AI42">
        <v>1001</v>
      </c>
      <c r="AJ42">
        <v>501</v>
      </c>
      <c r="AK42">
        <v>501</v>
      </c>
      <c r="AL42">
        <v>980</v>
      </c>
      <c r="AM42">
        <f t="shared" si="15"/>
        <v>847.86</v>
      </c>
      <c r="AN42" s="1">
        <f t="shared" si="31"/>
        <v>1.1794400018871039E-3</v>
      </c>
      <c r="AO42" s="14">
        <f t="shared" si="17"/>
        <v>9.9140986208750507E-4</v>
      </c>
      <c r="AP42">
        <v>1001</v>
      </c>
      <c r="AQ42">
        <v>1001</v>
      </c>
      <c r="AR42">
        <v>1000</v>
      </c>
      <c r="AS42">
        <v>1001</v>
      </c>
      <c r="AT42">
        <v>501</v>
      </c>
      <c r="AU42">
        <v>501</v>
      </c>
      <c r="AV42">
        <v>980</v>
      </c>
      <c r="AW42">
        <f t="shared" si="18"/>
        <v>855</v>
      </c>
      <c r="AX42" s="1">
        <f t="shared" si="32"/>
        <v>1.1695906432748538E-3</v>
      </c>
      <c r="AY42" s="14">
        <f t="shared" si="29"/>
        <v>9.814994392474592E-4</v>
      </c>
      <c r="AZ42">
        <v>1001</v>
      </c>
      <c r="BA42">
        <v>1001</v>
      </c>
      <c r="BB42">
        <v>1000</v>
      </c>
      <c r="BC42">
        <v>1001</v>
      </c>
      <c r="BD42">
        <v>501</v>
      </c>
      <c r="BE42">
        <v>501</v>
      </c>
      <c r="BF42">
        <v>980</v>
      </c>
      <c r="BG42">
        <f t="shared" si="20"/>
        <v>855</v>
      </c>
      <c r="BH42" s="1">
        <f t="shared" si="33"/>
        <v>1.1695906432748538E-3</v>
      </c>
      <c r="BI42" s="14">
        <f t="shared" si="22"/>
        <v>9.8130957832635044E-4</v>
      </c>
      <c r="BJ42">
        <v>1001</v>
      </c>
      <c r="BK42">
        <v>1001</v>
      </c>
      <c r="BL42">
        <v>950</v>
      </c>
      <c r="BM42">
        <v>1001</v>
      </c>
      <c r="BN42">
        <v>501</v>
      </c>
      <c r="BO42">
        <v>501</v>
      </c>
      <c r="BP42">
        <v>980</v>
      </c>
      <c r="BQ42">
        <f t="shared" si="23"/>
        <v>847.86</v>
      </c>
      <c r="BR42" s="1">
        <f t="shared" si="34"/>
        <v>1.1794400018871039E-3</v>
      </c>
      <c r="BS42" s="14">
        <f t="shared" si="25"/>
        <v>9.8454473807657399E-4</v>
      </c>
      <c r="BT42">
        <v>1001</v>
      </c>
      <c r="BU42">
        <v>1001</v>
      </c>
      <c r="BV42">
        <v>950</v>
      </c>
      <c r="BW42">
        <v>1001</v>
      </c>
      <c r="BX42">
        <v>501</v>
      </c>
      <c r="BY42">
        <v>501</v>
      </c>
      <c r="BZ42">
        <v>980</v>
      </c>
      <c r="CA42">
        <f t="shared" si="26"/>
        <v>847.86</v>
      </c>
      <c r="CB42" s="1">
        <f t="shared" si="35"/>
        <v>1.1794400018871039E-3</v>
      </c>
      <c r="CC42" s="14">
        <f t="shared" si="28"/>
        <v>9.890562756377536E-4</v>
      </c>
    </row>
    <row r="43" spans="1:81" x14ac:dyDescent="0.3">
      <c r="A43" s="5" t="s">
        <v>36</v>
      </c>
      <c r="B43">
        <v>1001</v>
      </c>
      <c r="C43">
        <v>501</v>
      </c>
      <c r="D43">
        <v>1000</v>
      </c>
      <c r="E43">
        <f t="shared" si="1"/>
        <v>834</v>
      </c>
      <c r="F43" s="1">
        <f t="shared" si="2"/>
        <v>1.199040767386091E-3</v>
      </c>
      <c r="G43" s="14">
        <f t="shared" si="0"/>
        <v>1.0349985184493898E-3</v>
      </c>
      <c r="H43">
        <v>1001</v>
      </c>
      <c r="I43">
        <v>501</v>
      </c>
      <c r="J43">
        <v>950</v>
      </c>
      <c r="K43">
        <f t="shared" si="3"/>
        <v>817.33</v>
      </c>
      <c r="L43" s="1">
        <f t="shared" si="4"/>
        <v>1.2234960175204629E-3</v>
      </c>
      <c r="M43" s="14">
        <f t="shared" si="5"/>
        <v>1.0373443908963022E-3</v>
      </c>
      <c r="N43">
        <v>1001</v>
      </c>
      <c r="O43">
        <v>1001</v>
      </c>
      <c r="P43">
        <v>1000</v>
      </c>
      <c r="Q43">
        <f t="shared" si="6"/>
        <v>1000.67</v>
      </c>
      <c r="R43" s="1">
        <f t="shared" si="7"/>
        <v>9.9933044859943851E-4</v>
      </c>
      <c r="S43" s="14">
        <f t="shared" si="8"/>
        <v>8.3326130521657171E-4</v>
      </c>
      <c r="T43">
        <v>1001</v>
      </c>
      <c r="U43">
        <v>1001</v>
      </c>
      <c r="V43">
        <v>1000</v>
      </c>
      <c r="W43">
        <f t="shared" si="9"/>
        <v>1000.67</v>
      </c>
      <c r="X43" s="1">
        <f t="shared" si="10"/>
        <v>9.9933044859943851E-4</v>
      </c>
      <c r="Y43" s="14">
        <f t="shared" si="11"/>
        <v>8.3326130521657171E-4</v>
      </c>
      <c r="Z43">
        <v>1001</v>
      </c>
      <c r="AA43">
        <v>1001</v>
      </c>
      <c r="AB43">
        <v>1000</v>
      </c>
      <c r="AC43">
        <f t="shared" si="12"/>
        <v>1000.67</v>
      </c>
      <c r="AD43" s="1">
        <f t="shared" si="30"/>
        <v>9.9933044859943851E-4</v>
      </c>
      <c r="AE43" s="14">
        <f t="shared" si="14"/>
        <v>8.3261634760887452E-4</v>
      </c>
      <c r="AF43">
        <v>1001</v>
      </c>
      <c r="AG43">
        <v>1001</v>
      </c>
      <c r="AH43">
        <v>1000</v>
      </c>
      <c r="AI43">
        <v>1001</v>
      </c>
      <c r="AJ43">
        <v>751</v>
      </c>
      <c r="AK43">
        <v>501</v>
      </c>
      <c r="AL43">
        <v>980</v>
      </c>
      <c r="AM43">
        <f t="shared" si="15"/>
        <v>890.71</v>
      </c>
      <c r="AN43" s="1">
        <f t="shared" si="31"/>
        <v>1.1226998686441154E-3</v>
      </c>
      <c r="AO43" s="14">
        <f t="shared" si="17"/>
        <v>9.4371542440245667E-4</v>
      </c>
      <c r="AP43">
        <v>1001</v>
      </c>
      <c r="AQ43">
        <v>1001</v>
      </c>
      <c r="AR43">
        <v>1000</v>
      </c>
      <c r="AS43">
        <v>1001</v>
      </c>
      <c r="AT43">
        <v>751</v>
      </c>
      <c r="AU43">
        <v>501</v>
      </c>
      <c r="AV43">
        <v>980</v>
      </c>
      <c r="AW43">
        <f t="shared" si="18"/>
        <v>890.71</v>
      </c>
      <c r="AX43" s="1">
        <f t="shared" si="32"/>
        <v>1.1226998686441154E-3</v>
      </c>
      <c r="AY43" s="14">
        <f t="shared" si="29"/>
        <v>9.4214954424737306E-4</v>
      </c>
      <c r="AZ43">
        <v>1001</v>
      </c>
      <c r="BA43">
        <v>1001</v>
      </c>
      <c r="BB43">
        <v>1000</v>
      </c>
      <c r="BC43">
        <v>1001</v>
      </c>
      <c r="BD43">
        <v>751</v>
      </c>
      <c r="BE43">
        <v>501</v>
      </c>
      <c r="BF43">
        <v>980</v>
      </c>
      <c r="BG43">
        <f t="shared" si="20"/>
        <v>890.71</v>
      </c>
      <c r="BH43" s="1">
        <f t="shared" si="33"/>
        <v>1.1226998686441154E-3</v>
      </c>
      <c r="BI43" s="14">
        <f t="shared" si="22"/>
        <v>9.4196729515670598E-4</v>
      </c>
      <c r="BJ43">
        <v>1001</v>
      </c>
      <c r="BK43">
        <v>1001</v>
      </c>
      <c r="BL43">
        <v>1000</v>
      </c>
      <c r="BM43">
        <v>1001</v>
      </c>
      <c r="BN43">
        <v>751</v>
      </c>
      <c r="BO43">
        <v>501</v>
      </c>
      <c r="BP43">
        <v>980</v>
      </c>
      <c r="BQ43">
        <f t="shared" si="23"/>
        <v>890.71</v>
      </c>
      <c r="BR43" s="1">
        <f t="shared" si="34"/>
        <v>1.1226998686441154E-3</v>
      </c>
      <c r="BS43" s="14">
        <f t="shared" si="25"/>
        <v>9.3718056564493955E-4</v>
      </c>
      <c r="BT43">
        <v>1001</v>
      </c>
      <c r="BU43">
        <v>1001</v>
      </c>
      <c r="BV43">
        <v>1000</v>
      </c>
      <c r="BW43">
        <v>1001</v>
      </c>
      <c r="BX43">
        <v>751</v>
      </c>
      <c r="BY43">
        <v>501</v>
      </c>
      <c r="BZ43">
        <v>980</v>
      </c>
      <c r="CA43">
        <f t="shared" si="26"/>
        <v>890.71</v>
      </c>
      <c r="CB43" s="1">
        <f t="shared" si="35"/>
        <v>1.1226998686441154E-3</v>
      </c>
      <c r="CC43" s="14">
        <f t="shared" si="28"/>
        <v>9.4147506355853853E-4</v>
      </c>
    </row>
    <row r="44" spans="1:81" x14ac:dyDescent="0.3">
      <c r="A44" s="5" t="s">
        <v>29</v>
      </c>
      <c r="B44">
        <v>1001</v>
      </c>
      <c r="C44">
        <v>501</v>
      </c>
      <c r="D44">
        <v>1000</v>
      </c>
      <c r="E44">
        <f t="shared" si="1"/>
        <v>834</v>
      </c>
      <c r="F44" s="1">
        <f t="shared" si="2"/>
        <v>1.199040767386091E-3</v>
      </c>
      <c r="G44" s="14">
        <f t="shared" si="0"/>
        <v>1.0349985184493898E-3</v>
      </c>
      <c r="H44">
        <v>1001</v>
      </c>
      <c r="I44">
        <v>501</v>
      </c>
      <c r="J44">
        <v>1000</v>
      </c>
      <c r="K44">
        <f t="shared" si="3"/>
        <v>834</v>
      </c>
      <c r="L44" s="1">
        <f t="shared" si="4"/>
        <v>1.199040767386091E-3</v>
      </c>
      <c r="M44" s="14">
        <f t="shared" si="5"/>
        <v>1.0166099412605213E-3</v>
      </c>
      <c r="N44">
        <v>1001</v>
      </c>
      <c r="O44">
        <v>1001</v>
      </c>
      <c r="P44">
        <v>1000</v>
      </c>
      <c r="Q44">
        <f t="shared" si="6"/>
        <v>1000.67</v>
      </c>
      <c r="R44" s="1">
        <f t="shared" si="7"/>
        <v>9.9933044859943851E-4</v>
      </c>
      <c r="S44" s="14">
        <f t="shared" si="8"/>
        <v>8.3326130521657171E-4</v>
      </c>
      <c r="T44">
        <v>1001</v>
      </c>
      <c r="U44">
        <v>1001</v>
      </c>
      <c r="V44">
        <v>1000</v>
      </c>
      <c r="W44">
        <f t="shared" si="9"/>
        <v>1000.67</v>
      </c>
      <c r="X44" s="1">
        <f t="shared" si="10"/>
        <v>9.9933044859943851E-4</v>
      </c>
      <c r="Y44" s="14">
        <f t="shared" si="11"/>
        <v>8.3326130521657171E-4</v>
      </c>
      <c r="Z44">
        <v>1001</v>
      </c>
      <c r="AA44">
        <v>1001</v>
      </c>
      <c r="AB44">
        <v>1000</v>
      </c>
      <c r="AC44">
        <f t="shared" si="12"/>
        <v>1000.67</v>
      </c>
      <c r="AD44" s="1">
        <f t="shared" si="30"/>
        <v>9.9933044859943851E-4</v>
      </c>
      <c r="AE44" s="14">
        <f t="shared" si="14"/>
        <v>8.3261634760887452E-4</v>
      </c>
      <c r="AF44">
        <v>1001</v>
      </c>
      <c r="AG44">
        <v>1001</v>
      </c>
      <c r="AH44">
        <v>1000</v>
      </c>
      <c r="AI44">
        <v>1001</v>
      </c>
      <c r="AJ44">
        <v>751</v>
      </c>
      <c r="AK44">
        <v>751</v>
      </c>
      <c r="AL44">
        <v>980</v>
      </c>
      <c r="AM44">
        <f t="shared" si="15"/>
        <v>926.43</v>
      </c>
      <c r="AN44" s="1">
        <f t="shared" si="31"/>
        <v>1.0794123679069116E-3</v>
      </c>
      <c r="AO44" s="14">
        <f t="shared" si="17"/>
        <v>9.0732895703886135E-4</v>
      </c>
      <c r="AP44">
        <v>1001</v>
      </c>
      <c r="AQ44">
        <v>1001</v>
      </c>
      <c r="AR44">
        <v>1000</v>
      </c>
      <c r="AS44">
        <v>1001</v>
      </c>
      <c r="AT44">
        <v>751</v>
      </c>
      <c r="AU44">
        <v>751</v>
      </c>
      <c r="AV44">
        <v>980</v>
      </c>
      <c r="AW44">
        <f t="shared" si="18"/>
        <v>926.43</v>
      </c>
      <c r="AX44" s="1">
        <f t="shared" si="32"/>
        <v>1.0794123679069116E-3</v>
      </c>
      <c r="AY44" s="14">
        <f t="shared" si="29"/>
        <v>9.0582345191388201E-4</v>
      </c>
      <c r="AZ44">
        <v>1001</v>
      </c>
      <c r="BA44">
        <v>1001</v>
      </c>
      <c r="BB44">
        <v>1000</v>
      </c>
      <c r="BC44">
        <v>1001</v>
      </c>
      <c r="BD44">
        <v>751</v>
      </c>
      <c r="BE44">
        <v>751</v>
      </c>
      <c r="BF44">
        <v>980</v>
      </c>
      <c r="BG44">
        <f t="shared" si="20"/>
        <v>926.43</v>
      </c>
      <c r="BH44" s="1">
        <f t="shared" si="33"/>
        <v>1.0794123679069116E-3</v>
      </c>
      <c r="BI44" s="14">
        <f t="shared" si="22"/>
        <v>9.0564822973028688E-4</v>
      </c>
      <c r="BJ44">
        <v>1001</v>
      </c>
      <c r="BK44">
        <v>1001</v>
      </c>
      <c r="BL44">
        <v>1000</v>
      </c>
      <c r="BM44">
        <v>1001</v>
      </c>
      <c r="BN44">
        <v>751</v>
      </c>
      <c r="BO44">
        <v>751</v>
      </c>
      <c r="BP44">
        <v>980</v>
      </c>
      <c r="BQ44">
        <f t="shared" si="23"/>
        <v>926.43</v>
      </c>
      <c r="BR44" s="1">
        <f t="shared" si="34"/>
        <v>1.0794123679069116E-3</v>
      </c>
      <c r="BS44" s="14">
        <f t="shared" si="25"/>
        <v>9.0104606028043588E-4</v>
      </c>
      <c r="BT44">
        <v>1001</v>
      </c>
      <c r="BU44">
        <v>1001</v>
      </c>
      <c r="BV44">
        <v>1000</v>
      </c>
      <c r="BW44">
        <v>1001</v>
      </c>
      <c r="BX44">
        <v>751</v>
      </c>
      <c r="BY44">
        <v>751</v>
      </c>
      <c r="BZ44">
        <v>980</v>
      </c>
      <c r="CA44">
        <f t="shared" si="26"/>
        <v>926.43</v>
      </c>
      <c r="CB44" s="1">
        <f t="shared" si="35"/>
        <v>1.0794123679069116E-3</v>
      </c>
      <c r="CC44" s="14">
        <f t="shared" si="28"/>
        <v>9.0517497691377212E-4</v>
      </c>
    </row>
    <row r="45" spans="1:81" x14ac:dyDescent="0.3">
      <c r="A45" s="5" t="s">
        <v>62</v>
      </c>
      <c r="B45">
        <v>1501</v>
      </c>
      <c r="D45">
        <v>1400</v>
      </c>
      <c r="E45">
        <f t="shared" si="1"/>
        <v>1450.5</v>
      </c>
      <c r="F45" s="1">
        <f t="shared" si="2"/>
        <v>6.8941744226128923E-4</v>
      </c>
      <c r="G45" s="14">
        <f t="shared" si="0"/>
        <v>5.9509739013222421E-4</v>
      </c>
      <c r="H45">
        <v>1501</v>
      </c>
      <c r="J45">
        <v>1400</v>
      </c>
      <c r="K45">
        <f t="shared" si="3"/>
        <v>1450.5</v>
      </c>
      <c r="L45" s="1">
        <f t="shared" si="4"/>
        <v>6.8941744226128923E-4</v>
      </c>
      <c r="M45" s="14">
        <f t="shared" si="5"/>
        <v>5.8452443365134422E-4</v>
      </c>
      <c r="N45">
        <v>1501</v>
      </c>
      <c r="O45">
        <v>1001</v>
      </c>
      <c r="P45">
        <v>1400</v>
      </c>
      <c r="Q45">
        <f t="shared" si="6"/>
        <v>1300.67</v>
      </c>
      <c r="R45" s="1">
        <f t="shared" si="7"/>
        <v>7.6883452374545426E-4</v>
      </c>
      <c r="S45" s="14">
        <f t="shared" si="8"/>
        <v>6.4106928759106205E-4</v>
      </c>
      <c r="T45">
        <v>1501</v>
      </c>
      <c r="U45">
        <v>1001</v>
      </c>
      <c r="V45">
        <v>1400</v>
      </c>
      <c r="W45">
        <f t="shared" si="9"/>
        <v>1300.67</v>
      </c>
      <c r="X45" s="1">
        <f t="shared" si="10"/>
        <v>7.6883452374545426E-4</v>
      </c>
      <c r="Y45" s="14">
        <f t="shared" si="11"/>
        <v>6.4106928759106205E-4</v>
      </c>
      <c r="Z45">
        <v>1501</v>
      </c>
      <c r="AA45">
        <v>1001</v>
      </c>
      <c r="AB45">
        <v>1400</v>
      </c>
      <c r="AC45">
        <f t="shared" si="12"/>
        <v>1300.67</v>
      </c>
      <c r="AD45" s="1">
        <f t="shared" si="30"/>
        <v>7.6883452374545426E-4</v>
      </c>
      <c r="AE45" s="14">
        <f t="shared" si="14"/>
        <v>6.4057308968590982E-4</v>
      </c>
      <c r="AF45">
        <v>1501</v>
      </c>
      <c r="AG45">
        <v>1001</v>
      </c>
      <c r="AH45">
        <v>1400</v>
      </c>
      <c r="AI45">
        <v>1001</v>
      </c>
      <c r="AJ45">
        <v>1001</v>
      </c>
      <c r="AK45">
        <v>1001</v>
      </c>
      <c r="AL45">
        <v>980</v>
      </c>
      <c r="AM45">
        <f t="shared" si="15"/>
        <v>1126.43</v>
      </c>
      <c r="AN45" s="1">
        <f t="shared" si="31"/>
        <v>8.8776044672105676E-4</v>
      </c>
      <c r="AO45" s="14">
        <f t="shared" si="17"/>
        <v>7.4623080499410725E-4</v>
      </c>
      <c r="AP45">
        <v>1501</v>
      </c>
      <c r="AQ45">
        <v>1001</v>
      </c>
      <c r="AR45">
        <v>1400</v>
      </c>
      <c r="AS45">
        <v>1001</v>
      </c>
      <c r="AT45">
        <v>1001</v>
      </c>
      <c r="AU45">
        <v>1001</v>
      </c>
      <c r="AV45">
        <v>980</v>
      </c>
      <c r="AW45">
        <f t="shared" si="18"/>
        <v>1126.43</v>
      </c>
      <c r="AX45" s="1">
        <f t="shared" si="32"/>
        <v>8.8776044672105676E-4</v>
      </c>
      <c r="AY45" s="14">
        <f t="shared" si="29"/>
        <v>7.4499260544958639E-4</v>
      </c>
      <c r="AZ45">
        <v>1501</v>
      </c>
      <c r="BA45">
        <v>1001</v>
      </c>
      <c r="BB45">
        <v>1400</v>
      </c>
      <c r="BC45">
        <v>1001</v>
      </c>
      <c r="BD45">
        <v>1001</v>
      </c>
      <c r="BE45">
        <v>1001</v>
      </c>
      <c r="BF45">
        <v>980</v>
      </c>
      <c r="BG45">
        <f t="shared" si="20"/>
        <v>1126.43</v>
      </c>
      <c r="BH45" s="1">
        <f t="shared" si="33"/>
        <v>8.8776044672105676E-4</v>
      </c>
      <c r="BI45" s="14">
        <f t="shared" si="22"/>
        <v>7.4484849433078799E-4</v>
      </c>
      <c r="BJ45">
        <v>1501</v>
      </c>
      <c r="BK45">
        <v>1001</v>
      </c>
      <c r="BL45">
        <v>1400</v>
      </c>
      <c r="BM45">
        <v>1001</v>
      </c>
      <c r="BN45">
        <v>1001</v>
      </c>
      <c r="BO45">
        <v>1001</v>
      </c>
      <c r="BP45">
        <v>980</v>
      </c>
      <c r="BQ45">
        <f t="shared" si="23"/>
        <v>1126.43</v>
      </c>
      <c r="BR45" s="1">
        <f t="shared" si="34"/>
        <v>8.8776044672105676E-4</v>
      </c>
      <c r="BS45" s="14">
        <f t="shared" si="25"/>
        <v>7.4106344968227419E-4</v>
      </c>
      <c r="BT45">
        <v>1501</v>
      </c>
      <c r="BU45">
        <v>1001</v>
      </c>
      <c r="BV45">
        <v>1400</v>
      </c>
      <c r="BW45">
        <v>1001</v>
      </c>
      <c r="BX45">
        <v>1001</v>
      </c>
      <c r="BY45">
        <v>1001</v>
      </c>
      <c r="BZ45">
        <v>980</v>
      </c>
      <c r="CA45">
        <f t="shared" si="26"/>
        <v>1126.43</v>
      </c>
      <c r="CB45" s="1">
        <f t="shared" si="35"/>
        <v>8.8776044672105676E-4</v>
      </c>
      <c r="CC45" s="14">
        <f t="shared" si="28"/>
        <v>7.4445926854063357E-4</v>
      </c>
    </row>
    <row r="46" spans="1:81" x14ac:dyDescent="0.3">
      <c r="A46" s="5" t="s">
        <v>63</v>
      </c>
      <c r="B46">
        <v>1501</v>
      </c>
      <c r="C46">
        <v>251</v>
      </c>
      <c r="D46">
        <v>1300</v>
      </c>
      <c r="E46">
        <f t="shared" si="1"/>
        <v>1017.33</v>
      </c>
      <c r="F46" s="1">
        <f t="shared" si="2"/>
        <v>9.8296521286111689E-4</v>
      </c>
      <c r="G46" s="14">
        <f t="shared" si="0"/>
        <v>8.4848452752478659E-4</v>
      </c>
      <c r="H46" s="34">
        <v>501</v>
      </c>
      <c r="I46">
        <v>251</v>
      </c>
      <c r="J46">
        <v>600</v>
      </c>
      <c r="K46">
        <f t="shared" si="3"/>
        <v>450.67</v>
      </c>
      <c r="L46" s="35">
        <f t="shared" si="4"/>
        <v>2.2189184991235271E-3</v>
      </c>
      <c r="M46" s="36">
        <f t="shared" si="5"/>
        <v>1.8813160206165814E-3</v>
      </c>
      <c r="N46">
        <v>251</v>
      </c>
      <c r="O46">
        <v>251</v>
      </c>
      <c r="P46">
        <v>250</v>
      </c>
      <c r="Q46">
        <f t="shared" si="6"/>
        <v>250.67</v>
      </c>
      <c r="R46" s="1">
        <f t="shared" si="7"/>
        <v>3.9893086528104684E-3</v>
      </c>
      <c r="S46" s="14">
        <f t="shared" si="8"/>
        <v>3.3263637064310319E-3</v>
      </c>
      <c r="T46">
        <v>251</v>
      </c>
      <c r="U46">
        <v>251</v>
      </c>
      <c r="V46">
        <v>250</v>
      </c>
      <c r="W46">
        <f t="shared" si="9"/>
        <v>250.67</v>
      </c>
      <c r="X46" s="1">
        <f t="shared" si="10"/>
        <v>3.9893086528104684E-3</v>
      </c>
      <c r="Y46" s="14">
        <f t="shared" si="11"/>
        <v>3.3263637064310319E-3</v>
      </c>
      <c r="Z46">
        <v>251</v>
      </c>
      <c r="AA46">
        <v>251</v>
      </c>
      <c r="AB46">
        <v>250</v>
      </c>
      <c r="AC46">
        <f t="shared" si="12"/>
        <v>250.67</v>
      </c>
      <c r="AD46" s="1">
        <f t="shared" si="30"/>
        <v>3.9893086528104684E-3</v>
      </c>
      <c r="AE46" s="14">
        <f t="shared" si="14"/>
        <v>3.3237890475995235E-3</v>
      </c>
      <c r="AF46">
        <v>251</v>
      </c>
      <c r="AG46">
        <v>251</v>
      </c>
      <c r="AH46">
        <v>250</v>
      </c>
      <c r="AI46">
        <v>251</v>
      </c>
      <c r="AJ46">
        <v>251</v>
      </c>
      <c r="AK46">
        <v>201</v>
      </c>
      <c r="AL46">
        <v>441</v>
      </c>
      <c r="AM46">
        <f t="shared" si="15"/>
        <v>270.86</v>
      </c>
      <c r="AN46" s="1">
        <f t="shared" si="31"/>
        <v>3.6919441778040314E-3</v>
      </c>
      <c r="AO46" s="14">
        <f t="shared" si="17"/>
        <v>3.1033624960108992E-3</v>
      </c>
      <c r="AP46">
        <v>251</v>
      </c>
      <c r="AQ46">
        <v>251</v>
      </c>
      <c r="AR46">
        <v>275</v>
      </c>
      <c r="AS46">
        <v>276</v>
      </c>
      <c r="AT46">
        <v>251</v>
      </c>
      <c r="AU46">
        <v>201</v>
      </c>
      <c r="AV46">
        <v>441</v>
      </c>
      <c r="AW46">
        <f t="shared" si="18"/>
        <v>278</v>
      </c>
      <c r="AX46" s="1">
        <f t="shared" si="32"/>
        <v>3.5971223021582736E-3</v>
      </c>
      <c r="AY46" s="14">
        <f t="shared" si="29"/>
        <v>3.0186403617143082E-3</v>
      </c>
      <c r="AZ46">
        <v>251</v>
      </c>
      <c r="BA46">
        <v>251</v>
      </c>
      <c r="BB46">
        <v>275</v>
      </c>
      <c r="BC46">
        <v>276</v>
      </c>
      <c r="BD46">
        <v>251</v>
      </c>
      <c r="BE46">
        <v>201</v>
      </c>
      <c r="BF46">
        <v>529</v>
      </c>
      <c r="BG46">
        <f t="shared" si="20"/>
        <v>290.57</v>
      </c>
      <c r="BH46" s="1">
        <f t="shared" si="33"/>
        <v>3.4415115118560072E-3</v>
      </c>
      <c r="BI46" s="14">
        <f t="shared" si="22"/>
        <v>2.8874959199815175E-3</v>
      </c>
      <c r="BJ46">
        <v>251</v>
      </c>
      <c r="BK46">
        <v>251</v>
      </c>
      <c r="BL46">
        <v>250</v>
      </c>
      <c r="BM46">
        <v>276</v>
      </c>
      <c r="BN46">
        <v>251</v>
      </c>
      <c r="BO46">
        <v>201</v>
      </c>
      <c r="BP46">
        <v>568</v>
      </c>
      <c r="BQ46">
        <f t="shared" si="23"/>
        <v>292.57</v>
      </c>
      <c r="BR46" s="1">
        <f t="shared" si="34"/>
        <v>3.4179854393820283E-3</v>
      </c>
      <c r="BS46" s="14">
        <f t="shared" si="25"/>
        <v>2.8531842007916194E-3</v>
      </c>
      <c r="BT46">
        <v>251</v>
      </c>
      <c r="BU46">
        <v>251</v>
      </c>
      <c r="BV46">
        <v>275</v>
      </c>
      <c r="BW46">
        <v>276</v>
      </c>
      <c r="BX46">
        <v>251</v>
      </c>
      <c r="BY46">
        <v>201</v>
      </c>
      <c r="BZ46">
        <v>578</v>
      </c>
      <c r="CA46">
        <f t="shared" si="26"/>
        <v>297.57</v>
      </c>
      <c r="CB46" s="1">
        <f t="shared" si="35"/>
        <v>3.3605538192694158E-3</v>
      </c>
      <c r="CC46" s="14">
        <f t="shared" si="28"/>
        <v>2.8180974354344388E-3</v>
      </c>
    </row>
    <row r="47" spans="1:81" x14ac:dyDescent="0.3">
      <c r="A47" s="5" t="s">
        <v>64</v>
      </c>
      <c r="B47">
        <v>1501</v>
      </c>
      <c r="C47">
        <v>501</v>
      </c>
      <c r="D47">
        <v>1400</v>
      </c>
      <c r="E47">
        <f t="shared" si="1"/>
        <v>1134</v>
      </c>
      <c r="F47" s="1">
        <f t="shared" si="2"/>
        <v>8.8183421516754845E-4</v>
      </c>
      <c r="G47" s="14">
        <f t="shared" si="0"/>
        <v>7.6118938658447191E-4</v>
      </c>
      <c r="H47">
        <v>1501</v>
      </c>
      <c r="I47">
        <v>501</v>
      </c>
      <c r="J47">
        <v>1200</v>
      </c>
      <c r="K47">
        <f t="shared" si="3"/>
        <v>1067.33</v>
      </c>
      <c r="L47" s="1">
        <f t="shared" si="4"/>
        <v>9.3691735452015781E-4</v>
      </c>
      <c r="M47" s="14">
        <f t="shared" si="5"/>
        <v>7.9436790028508035E-4</v>
      </c>
      <c r="N47">
        <v>1501</v>
      </c>
      <c r="O47">
        <v>1001</v>
      </c>
      <c r="P47">
        <v>1400</v>
      </c>
      <c r="Q47">
        <f t="shared" si="6"/>
        <v>1300.67</v>
      </c>
      <c r="R47" s="1">
        <f t="shared" si="7"/>
        <v>7.6883452374545426E-4</v>
      </c>
      <c r="S47" s="14">
        <f t="shared" si="8"/>
        <v>6.4106928759106205E-4</v>
      </c>
      <c r="T47">
        <v>1501</v>
      </c>
      <c r="U47">
        <v>1001</v>
      </c>
      <c r="V47">
        <v>1400</v>
      </c>
      <c r="W47">
        <f t="shared" si="9"/>
        <v>1300.67</v>
      </c>
      <c r="X47" s="1">
        <f t="shared" si="10"/>
        <v>7.6883452374545426E-4</v>
      </c>
      <c r="Y47" s="14">
        <f t="shared" si="11"/>
        <v>6.4106928759106205E-4</v>
      </c>
      <c r="Z47">
        <v>1501</v>
      </c>
      <c r="AA47">
        <v>1001</v>
      </c>
      <c r="AB47">
        <v>1400</v>
      </c>
      <c r="AC47">
        <f t="shared" si="12"/>
        <v>1300.67</v>
      </c>
      <c r="AD47" s="1">
        <f t="shared" si="30"/>
        <v>7.6883452374545426E-4</v>
      </c>
      <c r="AE47" s="14">
        <f t="shared" si="14"/>
        <v>6.4057308968590982E-4</v>
      </c>
      <c r="AF47">
        <v>1501</v>
      </c>
      <c r="AG47">
        <v>1001</v>
      </c>
      <c r="AH47">
        <v>1400</v>
      </c>
      <c r="AI47">
        <v>1001</v>
      </c>
      <c r="AJ47">
        <v>501</v>
      </c>
      <c r="AK47">
        <v>751</v>
      </c>
      <c r="AL47">
        <v>980</v>
      </c>
      <c r="AM47">
        <f t="shared" si="15"/>
        <v>1019.29</v>
      </c>
      <c r="AN47" s="1">
        <f t="shared" si="31"/>
        <v>9.8107506205299781E-4</v>
      </c>
      <c r="AO47" s="14">
        <f t="shared" si="17"/>
        <v>8.2466890253952486E-4</v>
      </c>
      <c r="AP47">
        <v>1501</v>
      </c>
      <c r="AQ47">
        <v>1001</v>
      </c>
      <c r="AR47">
        <v>1400</v>
      </c>
      <c r="AS47">
        <v>1001</v>
      </c>
      <c r="AT47">
        <v>501</v>
      </c>
      <c r="AU47">
        <v>751</v>
      </c>
      <c r="AV47">
        <v>980</v>
      </c>
      <c r="AW47">
        <f t="shared" si="18"/>
        <v>1019.29</v>
      </c>
      <c r="AX47" s="1">
        <f t="shared" si="32"/>
        <v>9.8107506205299781E-4</v>
      </c>
      <c r="AY47" s="14">
        <f t="shared" si="29"/>
        <v>8.2330055289130447E-4</v>
      </c>
      <c r="AZ47">
        <v>1501</v>
      </c>
      <c r="BA47">
        <v>1001</v>
      </c>
      <c r="BB47">
        <v>1400</v>
      </c>
      <c r="BC47">
        <v>1001</v>
      </c>
      <c r="BD47">
        <v>501</v>
      </c>
      <c r="BE47">
        <v>751</v>
      </c>
      <c r="BF47">
        <v>980</v>
      </c>
      <c r="BG47">
        <f t="shared" si="20"/>
        <v>1019.29</v>
      </c>
      <c r="BH47" s="1">
        <f t="shared" si="33"/>
        <v>9.8107506205299781E-4</v>
      </c>
      <c r="BI47" s="14">
        <f t="shared" si="22"/>
        <v>8.2314129390951511E-4</v>
      </c>
      <c r="BJ47">
        <v>1501</v>
      </c>
      <c r="BK47">
        <v>1001</v>
      </c>
      <c r="BL47">
        <v>1400</v>
      </c>
      <c r="BM47">
        <v>1001</v>
      </c>
      <c r="BN47">
        <v>501</v>
      </c>
      <c r="BO47">
        <v>751</v>
      </c>
      <c r="BP47">
        <v>980</v>
      </c>
      <c r="BQ47">
        <f t="shared" si="23"/>
        <v>1019.29</v>
      </c>
      <c r="BR47" s="1">
        <f t="shared" si="34"/>
        <v>9.8107506205299781E-4</v>
      </c>
      <c r="BS47" s="14">
        <f t="shared" si="25"/>
        <v>8.189583942014581E-4</v>
      </c>
      <c r="BT47">
        <v>1501</v>
      </c>
      <c r="BU47">
        <v>1001</v>
      </c>
      <c r="BV47">
        <v>1400</v>
      </c>
      <c r="BW47">
        <v>1001</v>
      </c>
      <c r="BX47">
        <v>501</v>
      </c>
      <c r="BY47">
        <v>751</v>
      </c>
      <c r="BZ47">
        <v>980</v>
      </c>
      <c r="CA47">
        <f t="shared" si="26"/>
        <v>1019.29</v>
      </c>
      <c r="CB47" s="1">
        <f t="shared" si="35"/>
        <v>9.8107506205299781E-4</v>
      </c>
      <c r="CC47" s="14">
        <f t="shared" si="28"/>
        <v>8.2271115566936396E-4</v>
      </c>
    </row>
    <row r="48" spans="1:81" x14ac:dyDescent="0.3">
      <c r="A48" s="5" t="s">
        <v>65</v>
      </c>
      <c r="B48">
        <v>1501</v>
      </c>
      <c r="C48">
        <v>751</v>
      </c>
      <c r="D48">
        <v>1400</v>
      </c>
      <c r="E48">
        <f t="shared" si="1"/>
        <v>1217.33</v>
      </c>
      <c r="F48" s="1">
        <f t="shared" si="2"/>
        <v>8.2146993830760763E-4</v>
      </c>
      <c r="G48" s="14">
        <f t="shared" si="0"/>
        <v>7.0908362102863737E-4</v>
      </c>
      <c r="H48">
        <v>1501</v>
      </c>
      <c r="I48">
        <v>751</v>
      </c>
      <c r="J48">
        <v>1300</v>
      </c>
      <c r="K48">
        <f t="shared" si="3"/>
        <v>1184</v>
      </c>
      <c r="L48" s="1">
        <f t="shared" si="4"/>
        <v>8.4459459459459464E-4</v>
      </c>
      <c r="M48" s="14">
        <f t="shared" si="5"/>
        <v>7.1609179984060377E-4</v>
      </c>
      <c r="N48">
        <v>1501</v>
      </c>
      <c r="O48">
        <v>1001</v>
      </c>
      <c r="P48">
        <v>1400</v>
      </c>
      <c r="Q48">
        <f t="shared" si="6"/>
        <v>1300.67</v>
      </c>
      <c r="R48" s="1">
        <f t="shared" si="7"/>
        <v>7.6883452374545426E-4</v>
      </c>
      <c r="S48" s="14">
        <f t="shared" si="8"/>
        <v>6.4106928759106205E-4</v>
      </c>
      <c r="T48">
        <v>1501</v>
      </c>
      <c r="U48">
        <v>1001</v>
      </c>
      <c r="V48">
        <v>1400</v>
      </c>
      <c r="W48">
        <f t="shared" si="9"/>
        <v>1300.67</v>
      </c>
      <c r="X48" s="1">
        <f t="shared" si="10"/>
        <v>7.6883452374545426E-4</v>
      </c>
      <c r="Y48" s="14">
        <f t="shared" si="11"/>
        <v>6.4106928759106205E-4</v>
      </c>
      <c r="Z48">
        <v>1501</v>
      </c>
      <c r="AA48">
        <v>1001</v>
      </c>
      <c r="AB48">
        <v>1500</v>
      </c>
      <c r="AC48">
        <f t="shared" si="12"/>
        <v>1334</v>
      </c>
      <c r="AD48" s="1">
        <f t="shared" si="30"/>
        <v>7.4962518740629683E-4</v>
      </c>
      <c r="AE48" s="14">
        <f t="shared" si="14"/>
        <v>6.2456836623821016E-4</v>
      </c>
      <c r="AF48">
        <v>1501</v>
      </c>
      <c r="AG48">
        <v>1001</v>
      </c>
      <c r="AH48">
        <v>1400</v>
      </c>
      <c r="AI48">
        <v>1001</v>
      </c>
      <c r="AJ48">
        <v>501</v>
      </c>
      <c r="AK48">
        <v>1501</v>
      </c>
      <c r="AL48">
        <v>980</v>
      </c>
      <c r="AM48">
        <f t="shared" si="15"/>
        <v>1126.43</v>
      </c>
      <c r="AN48" s="1">
        <f t="shared" si="31"/>
        <v>8.8776044672105676E-4</v>
      </c>
      <c r="AO48" s="14">
        <f t="shared" si="17"/>
        <v>7.4623080499410725E-4</v>
      </c>
      <c r="AP48">
        <v>1501</v>
      </c>
      <c r="AQ48">
        <v>1001</v>
      </c>
      <c r="AR48">
        <v>1500</v>
      </c>
      <c r="AS48">
        <v>1001</v>
      </c>
      <c r="AT48">
        <v>501</v>
      </c>
      <c r="AU48">
        <v>1501</v>
      </c>
      <c r="AV48">
        <v>980</v>
      </c>
      <c r="AW48">
        <f t="shared" si="18"/>
        <v>1140.71</v>
      </c>
      <c r="AX48" s="1">
        <f t="shared" si="32"/>
        <v>8.7664700055228753E-4</v>
      </c>
      <c r="AY48" s="14">
        <f t="shared" si="29"/>
        <v>7.3566640123833189E-4</v>
      </c>
      <c r="AZ48">
        <v>1501</v>
      </c>
      <c r="BA48">
        <v>1001</v>
      </c>
      <c r="BB48">
        <v>1500</v>
      </c>
      <c r="BC48">
        <v>1001</v>
      </c>
      <c r="BD48">
        <v>501</v>
      </c>
      <c r="BE48">
        <v>1501</v>
      </c>
      <c r="BF48">
        <v>980</v>
      </c>
      <c r="BG48">
        <f t="shared" si="20"/>
        <v>1140.71</v>
      </c>
      <c r="BH48" s="1">
        <f t="shared" si="33"/>
        <v>8.7664700055228753E-4</v>
      </c>
      <c r="BI48" s="14">
        <f t="shared" si="22"/>
        <v>7.3552409417733649E-4</v>
      </c>
      <c r="BJ48">
        <v>1501</v>
      </c>
      <c r="BK48">
        <v>1001</v>
      </c>
      <c r="BL48">
        <v>1400</v>
      </c>
      <c r="BM48">
        <v>1001</v>
      </c>
      <c r="BN48">
        <v>501</v>
      </c>
      <c r="BO48">
        <v>1501</v>
      </c>
      <c r="BP48">
        <v>980</v>
      </c>
      <c r="BQ48">
        <f t="shared" si="23"/>
        <v>1126.43</v>
      </c>
      <c r="BR48" s="1">
        <f t="shared" si="34"/>
        <v>8.8776044672105676E-4</v>
      </c>
      <c r="BS48" s="14">
        <f t="shared" si="25"/>
        <v>7.4106344968227419E-4</v>
      </c>
      <c r="BT48">
        <v>1501</v>
      </c>
      <c r="BU48">
        <v>1001</v>
      </c>
      <c r="BV48">
        <v>1400</v>
      </c>
      <c r="BW48">
        <v>1001</v>
      </c>
      <c r="BX48">
        <v>501</v>
      </c>
      <c r="BY48">
        <v>1501</v>
      </c>
      <c r="BZ48">
        <v>980</v>
      </c>
      <c r="CA48">
        <f t="shared" si="26"/>
        <v>1126.43</v>
      </c>
      <c r="CB48" s="1">
        <f t="shared" si="35"/>
        <v>8.8776044672105676E-4</v>
      </c>
      <c r="CC48" s="14">
        <f t="shared" si="28"/>
        <v>7.4445926854063357E-4</v>
      </c>
    </row>
    <row r="49" spans="1:81" x14ac:dyDescent="0.3">
      <c r="A49" s="5" t="s">
        <v>66</v>
      </c>
      <c r="B49">
        <v>2001</v>
      </c>
      <c r="C49">
        <v>501</v>
      </c>
      <c r="D49">
        <v>1800</v>
      </c>
      <c r="E49">
        <f t="shared" si="1"/>
        <v>1434</v>
      </c>
      <c r="F49" s="1">
        <f t="shared" si="2"/>
        <v>6.9735006973500695E-4</v>
      </c>
      <c r="G49" s="14">
        <f t="shared" si="0"/>
        <v>6.0194474503960324E-4</v>
      </c>
      <c r="H49">
        <v>2001</v>
      </c>
      <c r="I49">
        <v>501</v>
      </c>
      <c r="J49">
        <v>1600</v>
      </c>
      <c r="K49">
        <f t="shared" si="3"/>
        <v>1367.33</v>
      </c>
      <c r="L49" s="1">
        <f t="shared" si="4"/>
        <v>7.3135234361858519E-4</v>
      </c>
      <c r="M49" s="14">
        <f t="shared" si="5"/>
        <v>6.2007905261441993E-4</v>
      </c>
      <c r="N49">
        <v>1501</v>
      </c>
      <c r="O49">
        <v>1001</v>
      </c>
      <c r="P49">
        <v>1500</v>
      </c>
      <c r="Q49">
        <f t="shared" si="6"/>
        <v>1334</v>
      </c>
      <c r="R49" s="1">
        <f t="shared" si="7"/>
        <v>7.4962518740629683E-4</v>
      </c>
      <c r="S49" s="14">
        <f t="shared" si="8"/>
        <v>6.2505216663498247E-4</v>
      </c>
      <c r="T49">
        <v>1501</v>
      </c>
      <c r="U49">
        <v>1001</v>
      </c>
      <c r="V49">
        <v>1500</v>
      </c>
      <c r="W49">
        <f t="shared" si="9"/>
        <v>1334</v>
      </c>
      <c r="X49" s="1">
        <f t="shared" si="10"/>
        <v>7.4962518740629683E-4</v>
      </c>
      <c r="Y49" s="14">
        <f t="shared" si="11"/>
        <v>6.2505216663498247E-4</v>
      </c>
      <c r="Z49">
        <v>1501</v>
      </c>
      <c r="AA49">
        <v>1001</v>
      </c>
      <c r="AB49">
        <v>1500</v>
      </c>
      <c r="AC49">
        <f t="shared" si="12"/>
        <v>1334</v>
      </c>
      <c r="AD49" s="1">
        <f t="shared" si="30"/>
        <v>7.4962518740629683E-4</v>
      </c>
      <c r="AE49" s="14">
        <f t="shared" si="14"/>
        <v>6.2456836623821016E-4</v>
      </c>
      <c r="AF49">
        <v>1501</v>
      </c>
      <c r="AG49">
        <v>1001</v>
      </c>
      <c r="AH49">
        <v>1400</v>
      </c>
      <c r="AI49">
        <v>1001</v>
      </c>
      <c r="AJ49">
        <v>501</v>
      </c>
      <c r="AK49">
        <v>1501</v>
      </c>
      <c r="AL49">
        <v>980</v>
      </c>
      <c r="AM49">
        <f t="shared" si="15"/>
        <v>1126.43</v>
      </c>
      <c r="AN49" s="1">
        <f t="shared" si="31"/>
        <v>8.8776044672105676E-4</v>
      </c>
      <c r="AO49" s="14">
        <f t="shared" si="17"/>
        <v>7.4623080499410725E-4</v>
      </c>
      <c r="AP49">
        <v>1501</v>
      </c>
      <c r="AQ49">
        <v>1001</v>
      </c>
      <c r="AR49">
        <v>1400</v>
      </c>
      <c r="AS49">
        <v>1001</v>
      </c>
      <c r="AT49">
        <v>501</v>
      </c>
      <c r="AU49">
        <v>1501</v>
      </c>
      <c r="AV49">
        <v>980</v>
      </c>
      <c r="AW49">
        <f t="shared" si="18"/>
        <v>1126.43</v>
      </c>
      <c r="AX49" s="1">
        <f t="shared" si="32"/>
        <v>8.8776044672105676E-4</v>
      </c>
      <c r="AY49" s="14">
        <f t="shared" si="29"/>
        <v>7.4499260544958639E-4</v>
      </c>
      <c r="AZ49">
        <v>1501</v>
      </c>
      <c r="BA49">
        <v>1001</v>
      </c>
      <c r="BB49">
        <v>1400</v>
      </c>
      <c r="BC49">
        <v>1001</v>
      </c>
      <c r="BD49">
        <v>501</v>
      </c>
      <c r="BE49">
        <v>1501</v>
      </c>
      <c r="BF49">
        <v>980</v>
      </c>
      <c r="BG49">
        <f t="shared" si="20"/>
        <v>1126.43</v>
      </c>
      <c r="BH49" s="1">
        <f t="shared" si="33"/>
        <v>8.8776044672105676E-4</v>
      </c>
      <c r="BI49" s="14">
        <f t="shared" si="22"/>
        <v>7.4484849433078799E-4</v>
      </c>
      <c r="BJ49">
        <v>1501</v>
      </c>
      <c r="BK49">
        <v>1001</v>
      </c>
      <c r="BL49">
        <v>1400</v>
      </c>
      <c r="BM49">
        <v>1001</v>
      </c>
      <c r="BN49">
        <v>501</v>
      </c>
      <c r="BO49">
        <v>1501</v>
      </c>
      <c r="BP49">
        <v>980</v>
      </c>
      <c r="BQ49">
        <f t="shared" si="23"/>
        <v>1126.43</v>
      </c>
      <c r="BR49" s="1">
        <f t="shared" si="34"/>
        <v>8.8776044672105676E-4</v>
      </c>
      <c r="BS49" s="14">
        <f t="shared" si="25"/>
        <v>7.4106344968227419E-4</v>
      </c>
      <c r="BT49">
        <v>1501</v>
      </c>
      <c r="BU49">
        <v>1001</v>
      </c>
      <c r="BV49">
        <v>1400</v>
      </c>
      <c r="BW49">
        <v>1001</v>
      </c>
      <c r="BX49">
        <v>501</v>
      </c>
      <c r="BY49">
        <v>1501</v>
      </c>
      <c r="BZ49">
        <v>980</v>
      </c>
      <c r="CA49">
        <f t="shared" si="26"/>
        <v>1126.43</v>
      </c>
      <c r="CB49" s="1">
        <f t="shared" si="35"/>
        <v>8.8776044672105676E-4</v>
      </c>
      <c r="CC49" s="14">
        <f t="shared" si="28"/>
        <v>7.4445926854063357E-4</v>
      </c>
    </row>
    <row r="50" spans="1:81" x14ac:dyDescent="0.3">
      <c r="A50" s="5" t="s">
        <v>67</v>
      </c>
      <c r="B50">
        <v>2001</v>
      </c>
      <c r="C50">
        <v>501</v>
      </c>
      <c r="D50">
        <v>1800</v>
      </c>
      <c r="E50">
        <f t="shared" si="1"/>
        <v>1434</v>
      </c>
      <c r="F50" s="1">
        <f t="shared" si="2"/>
        <v>6.9735006973500695E-4</v>
      </c>
      <c r="G50" s="14">
        <f t="shared" si="0"/>
        <v>6.0194474503960324E-4</v>
      </c>
      <c r="H50">
        <v>2001</v>
      </c>
      <c r="I50">
        <v>501</v>
      </c>
      <c r="J50">
        <v>1700</v>
      </c>
      <c r="K50">
        <f t="shared" si="3"/>
        <v>1400.67</v>
      </c>
      <c r="L50" s="1">
        <f t="shared" si="4"/>
        <v>7.1394404106606124E-4</v>
      </c>
      <c r="M50" s="14">
        <f t="shared" si="5"/>
        <v>6.0531937644932407E-4</v>
      </c>
      <c r="N50">
        <v>2001</v>
      </c>
      <c r="O50">
        <v>1001</v>
      </c>
      <c r="P50">
        <v>1900</v>
      </c>
      <c r="Q50">
        <f t="shared" si="6"/>
        <v>1634</v>
      </c>
      <c r="R50" s="1">
        <f t="shared" si="7"/>
        <v>6.1199510403916763E-4</v>
      </c>
      <c r="S50" s="14">
        <f t="shared" si="8"/>
        <v>5.1029350691007749E-4</v>
      </c>
      <c r="T50">
        <v>2001</v>
      </c>
      <c r="U50">
        <v>1001</v>
      </c>
      <c r="V50">
        <v>1900</v>
      </c>
      <c r="W50">
        <f t="shared" si="9"/>
        <v>1634</v>
      </c>
      <c r="X50" s="1">
        <f t="shared" si="10"/>
        <v>6.1199510403916763E-4</v>
      </c>
      <c r="Y50" s="14">
        <f t="shared" si="11"/>
        <v>5.1029350691007749E-4</v>
      </c>
      <c r="Z50">
        <v>2001</v>
      </c>
      <c r="AA50">
        <v>1001</v>
      </c>
      <c r="AB50">
        <v>1900</v>
      </c>
      <c r="AC50">
        <f t="shared" si="12"/>
        <v>1634</v>
      </c>
      <c r="AD50" s="1">
        <f t="shared" si="30"/>
        <v>6.1199510403916763E-4</v>
      </c>
      <c r="AE50" s="14">
        <f t="shared" si="14"/>
        <v>5.0989853155555224E-4</v>
      </c>
      <c r="AF50">
        <v>2001</v>
      </c>
      <c r="AG50">
        <v>1001</v>
      </c>
      <c r="AH50">
        <v>1800</v>
      </c>
      <c r="AI50">
        <v>1001</v>
      </c>
      <c r="AJ50">
        <v>501</v>
      </c>
      <c r="AK50">
        <v>1501</v>
      </c>
      <c r="AL50">
        <v>980</v>
      </c>
      <c r="AM50">
        <f t="shared" si="15"/>
        <v>1255</v>
      </c>
      <c r="AN50" s="1">
        <f t="shared" si="31"/>
        <v>7.9681274900398409E-4</v>
      </c>
      <c r="AO50" s="14">
        <f t="shared" si="17"/>
        <v>6.697822834020018E-4</v>
      </c>
      <c r="AP50">
        <v>2001</v>
      </c>
      <c r="AQ50">
        <v>1001</v>
      </c>
      <c r="AR50">
        <v>1900</v>
      </c>
      <c r="AS50">
        <v>1001</v>
      </c>
      <c r="AT50">
        <v>501</v>
      </c>
      <c r="AU50">
        <v>1501</v>
      </c>
      <c r="AV50">
        <v>980</v>
      </c>
      <c r="AW50">
        <f t="shared" si="18"/>
        <v>1269.29</v>
      </c>
      <c r="AX50" s="1">
        <f t="shared" si="32"/>
        <v>7.878420219177651E-4</v>
      </c>
      <c r="AY50" s="14">
        <f t="shared" si="29"/>
        <v>6.6114285983232966E-4</v>
      </c>
      <c r="AZ50">
        <v>2001</v>
      </c>
      <c r="BA50">
        <v>1001</v>
      </c>
      <c r="BB50">
        <v>1900</v>
      </c>
      <c r="BC50">
        <v>1001</v>
      </c>
      <c r="BD50">
        <v>501</v>
      </c>
      <c r="BE50">
        <v>1501</v>
      </c>
      <c r="BF50">
        <v>980</v>
      </c>
      <c r="BG50">
        <f t="shared" si="20"/>
        <v>1269.29</v>
      </c>
      <c r="BH50" s="1">
        <f t="shared" si="33"/>
        <v>7.878420219177651E-4</v>
      </c>
      <c r="BI50" s="14">
        <f t="shared" si="22"/>
        <v>6.6101496858009571E-4</v>
      </c>
      <c r="BJ50">
        <v>2001</v>
      </c>
      <c r="BK50">
        <v>1001</v>
      </c>
      <c r="BL50">
        <v>1800</v>
      </c>
      <c r="BM50">
        <v>1001</v>
      </c>
      <c r="BN50">
        <v>501</v>
      </c>
      <c r="BO50">
        <v>1501</v>
      </c>
      <c r="BP50">
        <v>980</v>
      </c>
      <c r="BQ50">
        <f t="shared" si="23"/>
        <v>1255</v>
      </c>
      <c r="BR50" s="1">
        <f t="shared" si="34"/>
        <v>7.9681274900398409E-4</v>
      </c>
      <c r="BS50" s="14">
        <f>IF(BR50="","",BR50/$BR$54)</f>
        <v>6.6514430408414675E-4</v>
      </c>
      <c r="BT50">
        <v>2001</v>
      </c>
      <c r="BU50">
        <v>1001</v>
      </c>
      <c r="BV50">
        <v>1800</v>
      </c>
      <c r="BW50">
        <v>1001</v>
      </c>
      <c r="BX50">
        <v>501</v>
      </c>
      <c r="BY50">
        <v>1501</v>
      </c>
      <c r="BZ50">
        <v>980</v>
      </c>
      <c r="CA50">
        <f t="shared" si="26"/>
        <v>1255</v>
      </c>
      <c r="CB50" s="1">
        <f t="shared" si="35"/>
        <v>7.9681274900398409E-4</v>
      </c>
      <c r="CC50" s="14">
        <f t="shared" si="28"/>
        <v>6.6819223415316806E-4</v>
      </c>
    </row>
    <row r="51" spans="1:81" x14ac:dyDescent="0.3">
      <c r="A51" s="5" t="s">
        <v>68</v>
      </c>
      <c r="B51">
        <v>2001</v>
      </c>
      <c r="C51">
        <v>1001</v>
      </c>
      <c r="D51">
        <v>1900</v>
      </c>
      <c r="E51">
        <f t="shared" si="1"/>
        <v>1634</v>
      </c>
      <c r="F51" s="1">
        <f t="shared" si="2"/>
        <v>6.1199510403916763E-4</v>
      </c>
      <c r="G51" s="14">
        <f t="shared" si="0"/>
        <v>5.2826729766633485E-4</v>
      </c>
      <c r="H51">
        <v>2001</v>
      </c>
      <c r="I51">
        <v>1001</v>
      </c>
      <c r="J51">
        <v>1800</v>
      </c>
      <c r="K51">
        <f t="shared" si="3"/>
        <v>1600.67</v>
      </c>
      <c r="L51" s="1">
        <f>IF(K51="","",1/K51)</f>
        <v>6.2473839079885292E-4</v>
      </c>
      <c r="M51" s="14">
        <f t="shared" si="5"/>
        <v>5.2968612581686086E-4</v>
      </c>
      <c r="N51">
        <v>2001</v>
      </c>
      <c r="O51">
        <v>2501</v>
      </c>
      <c r="P51">
        <v>2000</v>
      </c>
      <c r="Q51">
        <f t="shared" si="6"/>
        <v>2167.33</v>
      </c>
      <c r="R51" s="1">
        <f t="shared" si="7"/>
        <v>4.6139720301015534E-4</v>
      </c>
      <c r="S51" s="14">
        <f t="shared" si="8"/>
        <v>3.8472202677537184E-4</v>
      </c>
      <c r="T51">
        <v>2001</v>
      </c>
      <c r="U51">
        <v>2501</v>
      </c>
      <c r="V51">
        <v>2000</v>
      </c>
      <c r="W51">
        <f t="shared" si="9"/>
        <v>2167.33</v>
      </c>
      <c r="X51" s="1">
        <f t="shared" si="10"/>
        <v>4.6139720301015534E-4</v>
      </c>
      <c r="Y51" s="14">
        <f t="shared" si="11"/>
        <v>3.8472202677537184E-4</v>
      </c>
      <c r="Z51">
        <v>2001</v>
      </c>
      <c r="AA51">
        <v>2501</v>
      </c>
      <c r="AB51">
        <v>2000</v>
      </c>
      <c r="AC51">
        <f t="shared" si="12"/>
        <v>2167.33</v>
      </c>
      <c r="AD51" s="1">
        <f t="shared" si="30"/>
        <v>4.6139720301015534E-4</v>
      </c>
      <c r="AE51" s="14">
        <f t="shared" si="14"/>
        <v>3.8442424575942401E-4</v>
      </c>
      <c r="AF51">
        <v>2001</v>
      </c>
      <c r="AG51">
        <v>2501</v>
      </c>
      <c r="AH51">
        <v>1900</v>
      </c>
      <c r="AI51">
        <v>1001</v>
      </c>
      <c r="AJ51">
        <v>1001</v>
      </c>
      <c r="AK51">
        <v>2501</v>
      </c>
      <c r="AL51">
        <v>980</v>
      </c>
      <c r="AM51">
        <f t="shared" si="15"/>
        <v>1697.86</v>
      </c>
      <c r="AN51" s="1">
        <f t="shared" si="31"/>
        <v>5.8897671186081309E-4</v>
      </c>
      <c r="AO51" s="14">
        <f t="shared" si="17"/>
        <v>4.9508013951062653E-4</v>
      </c>
      <c r="AP51">
        <v>2001</v>
      </c>
      <c r="AQ51">
        <v>2501</v>
      </c>
      <c r="AR51">
        <v>2000</v>
      </c>
      <c r="AS51">
        <v>1001</v>
      </c>
      <c r="AT51">
        <v>1001</v>
      </c>
      <c r="AU51">
        <v>2501</v>
      </c>
      <c r="AV51">
        <v>980</v>
      </c>
      <c r="AW51">
        <f t="shared" si="18"/>
        <v>1712.14</v>
      </c>
      <c r="AX51" s="1">
        <f t="shared" si="32"/>
        <v>5.8406438725805128E-4</v>
      </c>
      <c r="AY51" s="14">
        <f t="shared" si="29"/>
        <v>4.901363326343509E-4</v>
      </c>
      <c r="AZ51">
        <v>2001</v>
      </c>
      <c r="BA51">
        <v>2501</v>
      </c>
      <c r="BB51">
        <v>2000</v>
      </c>
      <c r="BC51">
        <v>1001</v>
      </c>
      <c r="BD51">
        <v>1001</v>
      </c>
      <c r="BE51">
        <v>2501</v>
      </c>
      <c r="BF51">
        <v>980</v>
      </c>
      <c r="BG51">
        <f t="shared" si="20"/>
        <v>1712.14</v>
      </c>
      <c r="BH51" s="1">
        <f t="shared" si="33"/>
        <v>5.8406438725805128E-4</v>
      </c>
      <c r="BI51" s="14">
        <f t="shared" si="22"/>
        <v>4.9004152082716924E-4</v>
      </c>
      <c r="BJ51">
        <v>2001</v>
      </c>
      <c r="BK51">
        <v>2501</v>
      </c>
      <c r="BL51">
        <v>1900</v>
      </c>
      <c r="BM51">
        <v>1001</v>
      </c>
      <c r="BN51">
        <v>1001</v>
      </c>
      <c r="BO51">
        <v>2501</v>
      </c>
      <c r="BP51">
        <v>980</v>
      </c>
      <c r="BQ51">
        <f t="shared" si="23"/>
        <v>1697.86</v>
      </c>
      <c r="BR51" s="1">
        <f t="shared" si="34"/>
        <v>5.8897671186081309E-4</v>
      </c>
      <c r="BS51" s="14">
        <f t="shared" si="25"/>
        <v>4.9165190394119909E-4</v>
      </c>
      <c r="BT51">
        <v>2001</v>
      </c>
      <c r="BU51">
        <v>2501</v>
      </c>
      <c r="BV51">
        <v>1900</v>
      </c>
      <c r="BW51">
        <v>1001</v>
      </c>
      <c r="BX51">
        <v>1001</v>
      </c>
      <c r="BY51">
        <v>2501</v>
      </c>
      <c r="BZ51">
        <v>980</v>
      </c>
      <c r="CA51">
        <f t="shared" si="26"/>
        <v>1697.86</v>
      </c>
      <c r="CB51" s="1">
        <f t="shared" si="35"/>
        <v>5.8897671186081309E-4</v>
      </c>
      <c r="CC51" s="14">
        <f t="shared" si="28"/>
        <v>4.9390482952789156E-4</v>
      </c>
    </row>
    <row r="52" spans="1:81" x14ac:dyDescent="0.3">
      <c r="A52" s="5" t="s">
        <v>69</v>
      </c>
      <c r="B52">
        <v>2501</v>
      </c>
      <c r="C52">
        <v>501</v>
      </c>
      <c r="D52">
        <v>2500</v>
      </c>
      <c r="E52">
        <f t="shared" si="1"/>
        <v>1834</v>
      </c>
      <c r="F52" s="1">
        <f t="shared" si="2"/>
        <v>5.4525627044711017E-4</v>
      </c>
      <c r="G52" s="14">
        <f t="shared" si="0"/>
        <v>4.7065908636139103E-4</v>
      </c>
      <c r="H52">
        <v>2501</v>
      </c>
      <c r="I52">
        <v>501</v>
      </c>
      <c r="J52">
        <v>2000</v>
      </c>
      <c r="K52">
        <f t="shared" si="3"/>
        <v>1667.33</v>
      </c>
      <c r="L52" s="1">
        <f t="shared" si="4"/>
        <v>5.9976129500458823E-4</v>
      </c>
      <c r="M52" s="14">
        <f t="shared" si="5"/>
        <v>5.0850922793404716E-4</v>
      </c>
      <c r="N52">
        <v>2501</v>
      </c>
      <c r="O52">
        <v>1001</v>
      </c>
      <c r="P52">
        <v>2500</v>
      </c>
      <c r="Q52">
        <f t="shared" si="6"/>
        <v>2000.67</v>
      </c>
      <c r="R52" s="1">
        <f t="shared" si="7"/>
        <v>4.9983255609370859E-4</v>
      </c>
      <c r="S52" s="14">
        <f t="shared" si="8"/>
        <v>4.1677017713619271E-4</v>
      </c>
      <c r="T52">
        <v>2501</v>
      </c>
      <c r="U52">
        <v>1001</v>
      </c>
      <c r="V52">
        <v>2500</v>
      </c>
      <c r="W52">
        <f t="shared" si="9"/>
        <v>2000.67</v>
      </c>
      <c r="X52" s="1">
        <f t="shared" si="10"/>
        <v>4.9983255609370859E-4</v>
      </c>
      <c r="Y52" s="14">
        <f t="shared" si="11"/>
        <v>4.1677017713619271E-4</v>
      </c>
      <c r="Z52">
        <v>2501</v>
      </c>
      <c r="AA52">
        <v>1001</v>
      </c>
      <c r="AB52">
        <v>2500</v>
      </c>
      <c r="AC52">
        <f t="shared" si="12"/>
        <v>2000.67</v>
      </c>
      <c r="AD52" s="1">
        <f t="shared" si="30"/>
        <v>4.9983255609370859E-4</v>
      </c>
      <c r="AE52" s="14">
        <f t="shared" si="14"/>
        <v>4.1644759033812291E-4</v>
      </c>
      <c r="AF52">
        <v>2501</v>
      </c>
      <c r="AG52">
        <v>1001</v>
      </c>
      <c r="AH52">
        <v>2500</v>
      </c>
      <c r="AI52">
        <v>1001</v>
      </c>
      <c r="AJ52">
        <v>1001</v>
      </c>
      <c r="AK52">
        <v>1501</v>
      </c>
      <c r="AL52">
        <v>980</v>
      </c>
      <c r="AM52">
        <f t="shared" si="15"/>
        <v>1497.86</v>
      </c>
      <c r="AN52" s="1">
        <f t="shared" si="31"/>
        <v>6.6761913663493258E-4</v>
      </c>
      <c r="AO52" s="14">
        <f>IF(AN52="","",AN52/$AN$54)</f>
        <v>5.6118513457166378E-4</v>
      </c>
      <c r="AP52">
        <v>2501</v>
      </c>
      <c r="AQ52">
        <v>1001</v>
      </c>
      <c r="AR52">
        <v>2500</v>
      </c>
      <c r="AS52">
        <v>1001</v>
      </c>
      <c r="AT52">
        <v>1001</v>
      </c>
      <c r="AU52">
        <v>1501</v>
      </c>
      <c r="AV52">
        <v>980</v>
      </c>
      <c r="AW52">
        <f t="shared" si="18"/>
        <v>1497.86</v>
      </c>
      <c r="AX52" s="1">
        <f t="shared" si="32"/>
        <v>6.6761913663493258E-4</v>
      </c>
      <c r="AY52" s="14">
        <f t="shared" si="29"/>
        <v>5.6025397604354062E-4</v>
      </c>
      <c r="AZ52">
        <v>2501</v>
      </c>
      <c r="BA52">
        <v>1001</v>
      </c>
      <c r="BB52">
        <v>2500</v>
      </c>
      <c r="BC52">
        <v>1001</v>
      </c>
      <c r="BD52">
        <v>1001</v>
      </c>
      <c r="BE52">
        <v>1501</v>
      </c>
      <c r="BF52">
        <v>980</v>
      </c>
      <c r="BG52">
        <f t="shared" si="20"/>
        <v>1497.86</v>
      </c>
      <c r="BH52" s="1">
        <f t="shared" si="33"/>
        <v>6.6761913663493258E-4</v>
      </c>
      <c r="BI52" s="14">
        <f t="shared" si="22"/>
        <v>5.6014560070302276E-4</v>
      </c>
      <c r="BJ52">
        <v>2501</v>
      </c>
      <c r="BK52">
        <v>1001</v>
      </c>
      <c r="BL52">
        <v>2500</v>
      </c>
      <c r="BM52">
        <v>1001</v>
      </c>
      <c r="BN52">
        <v>1001</v>
      </c>
      <c r="BO52">
        <v>1501</v>
      </c>
      <c r="BP52">
        <v>980</v>
      </c>
      <c r="BQ52">
        <f t="shared" si="23"/>
        <v>1497.86</v>
      </c>
      <c r="BR52" s="1">
        <f t="shared" si="34"/>
        <v>6.6761913663493258E-4</v>
      </c>
      <c r="BS52" s="14">
        <f t="shared" si="25"/>
        <v>5.5729914786802786E-4</v>
      </c>
      <c r="BT52">
        <v>2501</v>
      </c>
      <c r="BU52">
        <v>1001</v>
      </c>
      <c r="BV52">
        <v>2500</v>
      </c>
      <c r="BW52">
        <v>1001</v>
      </c>
      <c r="BX52">
        <v>1001</v>
      </c>
      <c r="BY52">
        <v>1501</v>
      </c>
      <c r="BZ52">
        <v>980</v>
      </c>
      <c r="CA52">
        <f t="shared" si="26"/>
        <v>1497.86</v>
      </c>
      <c r="CB52" s="1">
        <f t="shared" si="35"/>
        <v>6.6761913663493258E-4</v>
      </c>
      <c r="CC52" s="14">
        <f t="shared" si="28"/>
        <v>5.5985289270173849E-4</v>
      </c>
    </row>
    <row r="53" spans="1:81" x14ac:dyDescent="0.3">
      <c r="A53" s="5" t="s">
        <v>70</v>
      </c>
      <c r="B53">
        <v>3001</v>
      </c>
      <c r="C53">
        <v>1001</v>
      </c>
      <c r="D53">
        <v>3000</v>
      </c>
      <c r="E53">
        <f t="shared" si="1"/>
        <v>2334</v>
      </c>
      <c r="F53" s="1">
        <f t="shared" si="2"/>
        <v>4.2844901456726652E-4</v>
      </c>
      <c r="G53" s="14">
        <f t="shared" si="0"/>
        <v>3.6983237548705709E-4</v>
      </c>
      <c r="H53">
        <v>3001</v>
      </c>
      <c r="I53">
        <v>1001</v>
      </c>
      <c r="J53">
        <v>2500</v>
      </c>
      <c r="K53">
        <f t="shared" si="3"/>
        <v>2167.33</v>
      </c>
      <c r="L53" s="1">
        <f t="shared" si="4"/>
        <v>4.6139720301015534E-4</v>
      </c>
      <c r="M53" s="14">
        <f t="shared" si="5"/>
        <v>3.9119686019723567E-4</v>
      </c>
      <c r="N53">
        <v>3001</v>
      </c>
      <c r="O53">
        <v>2501</v>
      </c>
      <c r="P53">
        <v>3000</v>
      </c>
      <c r="Q53">
        <f t="shared" si="6"/>
        <v>2834</v>
      </c>
      <c r="R53" s="1">
        <f t="shared" si="7"/>
        <v>3.5285815102328866E-4</v>
      </c>
      <c r="S53" s="14">
        <f t="shared" si="8"/>
        <v>2.9422003891710189E-4</v>
      </c>
      <c r="T53">
        <v>3001</v>
      </c>
      <c r="U53">
        <v>2501</v>
      </c>
      <c r="V53">
        <v>3000</v>
      </c>
      <c r="W53">
        <f t="shared" si="9"/>
        <v>2834</v>
      </c>
      <c r="X53" s="1">
        <f t="shared" si="10"/>
        <v>3.5285815102328866E-4</v>
      </c>
      <c r="Y53" s="14">
        <f t="shared" si="11"/>
        <v>2.9422003891710189E-4</v>
      </c>
      <c r="Z53">
        <v>3001</v>
      </c>
      <c r="AA53">
        <v>2501</v>
      </c>
      <c r="AB53">
        <v>3000</v>
      </c>
      <c r="AC53">
        <f t="shared" si="12"/>
        <v>2834</v>
      </c>
      <c r="AD53" s="1">
        <f t="shared" si="30"/>
        <v>3.5285815102328866E-4</v>
      </c>
      <c r="AE53" s="14">
        <f t="shared" si="14"/>
        <v>2.9399230789053368E-4</v>
      </c>
      <c r="AF53">
        <v>3001</v>
      </c>
      <c r="AG53">
        <v>2501</v>
      </c>
      <c r="AH53">
        <v>3000</v>
      </c>
      <c r="AI53">
        <v>1001</v>
      </c>
      <c r="AJ53">
        <v>1001</v>
      </c>
      <c r="AK53">
        <v>2501</v>
      </c>
      <c r="AL53">
        <v>980</v>
      </c>
      <c r="AM53">
        <f t="shared" si="15"/>
        <v>1997.86</v>
      </c>
      <c r="AN53" s="1">
        <f t="shared" si="31"/>
        <v>5.0053557306317762E-4</v>
      </c>
      <c r="AO53" s="14">
        <f t="shared" si="17"/>
        <v>4.2073857310798168E-4</v>
      </c>
      <c r="AP53">
        <v>3001</v>
      </c>
      <c r="AQ53">
        <v>2501</v>
      </c>
      <c r="AR53">
        <v>3000</v>
      </c>
      <c r="AS53">
        <v>1001</v>
      </c>
      <c r="AT53">
        <v>1001</v>
      </c>
      <c r="AU53">
        <v>2501</v>
      </c>
      <c r="AV53">
        <v>980</v>
      </c>
      <c r="AW53">
        <f t="shared" si="18"/>
        <v>1997.86</v>
      </c>
      <c r="AX53" s="1">
        <f t="shared" si="32"/>
        <v>5.0053557306317762E-4</v>
      </c>
      <c r="AY53" s="14">
        <f t="shared" si="29"/>
        <v>4.2004045356360188E-4</v>
      </c>
      <c r="AZ53">
        <v>3001</v>
      </c>
      <c r="BA53">
        <v>2501</v>
      </c>
      <c r="BB53">
        <v>3000</v>
      </c>
      <c r="BC53">
        <v>1001</v>
      </c>
      <c r="BD53">
        <v>1001</v>
      </c>
      <c r="BE53">
        <v>2501</v>
      </c>
      <c r="BF53">
        <v>980</v>
      </c>
      <c r="BG53">
        <f t="shared" si="20"/>
        <v>1997.86</v>
      </c>
      <c r="BH53" s="1">
        <f t="shared" si="33"/>
        <v>5.0053557306317762E-4</v>
      </c>
      <c r="BI53" s="14">
        <f t="shared" si="22"/>
        <v>4.1995920107967003E-4</v>
      </c>
      <c r="BJ53">
        <v>3001</v>
      </c>
      <c r="BK53">
        <v>2501</v>
      </c>
      <c r="BL53">
        <v>3000</v>
      </c>
      <c r="BM53">
        <v>1001</v>
      </c>
      <c r="BN53">
        <v>1001</v>
      </c>
      <c r="BO53">
        <v>2501</v>
      </c>
      <c r="BP53">
        <v>980</v>
      </c>
      <c r="BQ53">
        <f t="shared" si="23"/>
        <v>1997.86</v>
      </c>
      <c r="BR53" s="1">
        <f t="shared" si="34"/>
        <v>5.0053557306317762E-4</v>
      </c>
      <c r="BS53" s="14">
        <f t="shared" si="25"/>
        <v>4.1782512369515588E-4</v>
      </c>
      <c r="BT53">
        <v>3001</v>
      </c>
      <c r="BU53">
        <v>2501</v>
      </c>
      <c r="BV53">
        <v>3000</v>
      </c>
      <c r="BW53">
        <v>1001</v>
      </c>
      <c r="BX53">
        <v>1001</v>
      </c>
      <c r="BY53">
        <v>2501</v>
      </c>
      <c r="BZ53">
        <v>980</v>
      </c>
      <c r="CA53">
        <f t="shared" si="26"/>
        <v>1997.86</v>
      </c>
      <c r="CB53" s="1">
        <f t="shared" si="35"/>
        <v>5.0053557306317762E-4</v>
      </c>
      <c r="CC53" s="14">
        <f t="shared" si="28"/>
        <v>4.1973974846196724E-4</v>
      </c>
    </row>
    <row r="54" spans="1:81" ht="15" thickBot="1" x14ac:dyDescent="0.35">
      <c r="A54" s="6" t="s">
        <v>2</v>
      </c>
      <c r="B54" s="7"/>
      <c r="C54" s="7"/>
      <c r="D54" s="7"/>
      <c r="E54" s="7"/>
      <c r="F54" s="8">
        <f>SUM(F6:F53)</f>
        <v>1.158495153386756</v>
      </c>
      <c r="G54" s="15">
        <f>SUM(G6:G53)</f>
        <v>1.0000000000000009</v>
      </c>
      <c r="H54" s="7"/>
      <c r="I54" s="7"/>
      <c r="J54" s="7"/>
      <c r="K54" s="7"/>
      <c r="L54" s="8">
        <f>SUM(L6:L53)</f>
        <v>1.179450169353419</v>
      </c>
      <c r="M54" s="15">
        <f>SUM(M6:M53)</f>
        <v>1</v>
      </c>
      <c r="N54" s="7"/>
      <c r="O54" s="7"/>
      <c r="P54" s="7"/>
      <c r="Q54" s="7"/>
      <c r="R54" s="8">
        <f>SUM(R6:R53)</f>
        <v>1.1993001983209866</v>
      </c>
      <c r="S54" s="15">
        <f>SUM(S6:S53)</f>
        <v>1.0000000000000007</v>
      </c>
      <c r="T54" s="7"/>
      <c r="U54" s="7"/>
      <c r="V54" s="7"/>
      <c r="W54" s="7"/>
      <c r="X54" s="8">
        <f>SUM(X6:X53)</f>
        <v>1.1987534731364822</v>
      </c>
      <c r="Y54" s="15">
        <f>SUM(Y6:Y53)</f>
        <v>0.99961327289233814</v>
      </c>
      <c r="Z54" s="7"/>
      <c r="AA54" s="7"/>
      <c r="AB54" s="7"/>
      <c r="AC54" s="7"/>
      <c r="AD54" s="8">
        <f>SUM(AD6:AD53)</f>
        <v>1.2002291949579624</v>
      </c>
      <c r="AE54" s="15">
        <f>IF(AD54="","",AD54/$AD$54)</f>
        <v>1</v>
      </c>
      <c r="AF54" s="7"/>
      <c r="AG54" s="7"/>
      <c r="AH54" s="7"/>
      <c r="AI54" s="7"/>
      <c r="AJ54" s="7"/>
      <c r="AK54" s="7"/>
      <c r="AL54" s="7"/>
      <c r="AM54" s="7"/>
      <c r="AN54" s="8">
        <f>SUM(AN6:AN53)</f>
        <v>1.1896593396838759</v>
      </c>
      <c r="AO54" s="14">
        <f>IF(AN54="","",AN54/$AN$54)</f>
        <v>1</v>
      </c>
      <c r="AP54" s="7"/>
      <c r="AQ54" s="7"/>
      <c r="AR54" s="7"/>
      <c r="AS54" s="7"/>
      <c r="AT54" s="7"/>
      <c r="AU54" s="7"/>
      <c r="AV54" s="7"/>
      <c r="AW54" s="7"/>
      <c r="AX54" s="8">
        <f>SUM(AX6:AX53)</f>
        <v>1.1916365883729989</v>
      </c>
      <c r="AY54" s="14">
        <f>IF(AX54="","",AX54/$AX$54)</f>
        <v>1</v>
      </c>
      <c r="AZ54" s="7"/>
      <c r="BA54" s="7"/>
      <c r="BB54" s="7"/>
      <c r="BC54" s="7"/>
      <c r="BD54" s="7"/>
      <c r="BE54" s="7"/>
      <c r="BF54" s="7"/>
      <c r="BG54" s="7"/>
      <c r="BH54" s="8">
        <f>SUM(BH6:BH53)</f>
        <v>1.1918671427518539</v>
      </c>
      <c r="BI54" s="14">
        <f>IF(BH54="","",BH54/$BH$54)</f>
        <v>1</v>
      </c>
      <c r="BJ54" s="7"/>
      <c r="BK54" s="7"/>
      <c r="BL54" s="7"/>
      <c r="BM54" s="7"/>
      <c r="BN54" s="7"/>
      <c r="BO54" s="7"/>
      <c r="BP54" s="7"/>
      <c r="BQ54" s="7"/>
      <c r="BR54" s="8">
        <f>SUM(BR6:BR53)</f>
        <v>1.197954705635095</v>
      </c>
      <c r="BS54" s="14">
        <f>IF(BR54="","",BR54/$BR$54)</f>
        <v>1</v>
      </c>
      <c r="BT54" s="7"/>
      <c r="BU54" s="7"/>
      <c r="BV54" s="7"/>
      <c r="BW54" s="7"/>
      <c r="BX54" s="7"/>
      <c r="BY54" s="7"/>
      <c r="BZ54" s="7"/>
      <c r="CA54" s="7"/>
      <c r="CB54" s="8">
        <f>SUM(CB6:CB53)</f>
        <v>1.1924902868915006</v>
      </c>
      <c r="CC54" s="14">
        <f>IF(CB54="","",CB54/$CB$54)</f>
        <v>1</v>
      </c>
    </row>
    <row r="55" spans="1:81" x14ac:dyDescent="0.3">
      <c r="N55"/>
      <c r="O55"/>
      <c r="AO55" s="3"/>
    </row>
    <row r="56" spans="1:81" x14ac:dyDescent="0.3">
      <c r="N56"/>
      <c r="O56"/>
    </row>
  </sheetData>
  <mergeCells count="14">
    <mergeCell ref="H3:J3"/>
    <mergeCell ref="AF3:AH3"/>
    <mergeCell ref="AI3:AL3"/>
    <mergeCell ref="AP3:AR3"/>
    <mergeCell ref="Z3:AB3"/>
    <mergeCell ref="T3:V3"/>
    <mergeCell ref="AZ3:BB3"/>
    <mergeCell ref="BC3:BF3"/>
    <mergeCell ref="N3:P3"/>
    <mergeCell ref="BT3:BU3"/>
    <mergeCell ref="BW3:BZ3"/>
    <mergeCell ref="BM3:BP3"/>
    <mergeCell ref="BJ3:BK3"/>
    <mergeCell ref="AS3:AV3"/>
  </mergeCells>
  <phoneticPr fontId="7" type="noConversion"/>
  <conditionalFormatting sqref="M6">
    <cfRule type="cellIs" dxfId="2" priority="1" operator="greaterThan">
      <formula>AND(M6&lt;&gt;"",M5&lt;&gt;"",M6&gt;M5)</formula>
    </cfRule>
  </conditionalFormatting>
  <conditionalFormatting sqref="M7">
    <cfRule type="cellIs" dxfId="1" priority="3" operator="greaterThan">
      <formula>0.13</formula>
    </cfRule>
    <cfRule type="cellIs" dxfId="0" priority="4" operator="greaterThan">
      <formula>AND(M6&lt;&gt;"",G6&lt;&gt;"",M6&gt;G5)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A2EC-F9BF-440D-A38F-2D542D6C3556}">
  <dimension ref="B1:M88"/>
  <sheetViews>
    <sheetView workbookViewId="0">
      <selection activeCell="D11" sqref="D11"/>
    </sheetView>
  </sheetViews>
  <sheetFormatPr baseColWidth="10" defaultRowHeight="14.4" x14ac:dyDescent="0.3"/>
  <sheetData>
    <row r="1" spans="2:13" x14ac:dyDescent="0.3">
      <c r="B1" t="s">
        <v>41</v>
      </c>
      <c r="D1" s="1"/>
      <c r="E1" s="13"/>
      <c r="G1" s="17"/>
      <c r="H1" s="17"/>
      <c r="I1" s="17"/>
      <c r="K1" s="17"/>
      <c r="L1" s="17"/>
      <c r="M1" s="17"/>
    </row>
    <row r="2" spans="2:13" x14ac:dyDescent="0.3">
      <c r="B2" t="s">
        <v>40</v>
      </c>
      <c r="D2" s="1"/>
      <c r="E2" s="13"/>
      <c r="G2" s="17" t="s">
        <v>42</v>
      </c>
      <c r="H2" s="17"/>
      <c r="I2" s="17"/>
      <c r="K2" s="17" t="s">
        <v>43</v>
      </c>
      <c r="L2" s="17"/>
      <c r="M2" s="17"/>
    </row>
    <row r="3" spans="2:13" x14ac:dyDescent="0.3">
      <c r="D3" s="1"/>
      <c r="E3" s="13"/>
      <c r="G3" s="17"/>
      <c r="H3" s="17"/>
      <c r="I3" s="17"/>
      <c r="K3" s="17"/>
      <c r="L3" s="17"/>
      <c r="M3" s="17"/>
    </row>
    <row r="4" spans="2:13" ht="15" thickBot="1" x14ac:dyDescent="0.35">
      <c r="B4" s="16" t="s">
        <v>37</v>
      </c>
      <c r="D4" s="1"/>
      <c r="E4" s="13"/>
      <c r="G4" s="17" t="s">
        <v>38</v>
      </c>
      <c r="H4" s="17"/>
      <c r="I4" s="17"/>
      <c r="K4" s="17" t="s">
        <v>39</v>
      </c>
      <c r="L4" s="17"/>
      <c r="M4" s="17"/>
    </row>
    <row r="5" spans="2:13" ht="15" thickBot="1" x14ac:dyDescent="0.35">
      <c r="B5" s="9" t="s">
        <v>7</v>
      </c>
      <c r="C5" s="10" t="s">
        <v>0</v>
      </c>
      <c r="D5" s="11" t="s">
        <v>1</v>
      </c>
      <c r="E5" s="12" t="s">
        <v>6</v>
      </c>
      <c r="G5" s="18" t="s">
        <v>0</v>
      </c>
      <c r="H5" s="19" t="s">
        <v>1</v>
      </c>
      <c r="I5" s="20" t="s">
        <v>6</v>
      </c>
      <c r="K5" s="18" t="s">
        <v>0</v>
      </c>
      <c r="L5" s="19" t="s">
        <v>1</v>
      </c>
      <c r="M5" s="20" t="s">
        <v>6</v>
      </c>
    </row>
    <row r="6" spans="2:13" x14ac:dyDescent="0.3">
      <c r="B6" s="2" t="s">
        <v>8</v>
      </c>
      <c r="C6" s="3">
        <v>4.99</v>
      </c>
      <c r="D6" s="4">
        <f>IF(C6="","",1/C6)</f>
        <v>0.20040080160320639</v>
      </c>
      <c r="E6" s="12">
        <f>IF(D6="","",D6/$D$57)</f>
        <v>0.16935826437076107</v>
      </c>
      <c r="G6" s="21">
        <v>4.99</v>
      </c>
      <c r="H6" s="22">
        <f>IF(G6="","",1/G6)</f>
        <v>0.20040080160320639</v>
      </c>
      <c r="I6" s="20">
        <f>IF(H6="","",H6/$D$57)</f>
        <v>0.16935826437076107</v>
      </c>
      <c r="K6" s="21">
        <v>4.99</v>
      </c>
      <c r="L6" s="22">
        <f>IF(K6="","",1/K6)</f>
        <v>0.20040080160320639</v>
      </c>
      <c r="M6" s="20">
        <f>IF(L6="","",L6/$D$57)</f>
        <v>0.16935826437076107</v>
      </c>
    </row>
    <row r="7" spans="2:13" x14ac:dyDescent="0.3">
      <c r="B7" s="5" t="s">
        <v>9</v>
      </c>
      <c r="C7">
        <v>7.07</v>
      </c>
      <c r="D7" s="1">
        <f t="shared" ref="D7:D56" si="0">IF(C7="","",1/C7)</f>
        <v>0.14144271570014144</v>
      </c>
      <c r="E7" s="14">
        <f>IF(D7="","",D7/$D$57)</f>
        <v>0.11953291926592614</v>
      </c>
      <c r="G7" s="17">
        <v>7.07</v>
      </c>
      <c r="H7" s="23">
        <f t="shared" ref="H7:H37" si="1">IF(G7="","",1/G7)</f>
        <v>0.14144271570014144</v>
      </c>
      <c r="I7" s="24">
        <f>IF(H7="","",H7/$D$57)</f>
        <v>0.11953291926592614</v>
      </c>
      <c r="K7" s="17">
        <v>7.07</v>
      </c>
      <c r="L7" s="23">
        <f t="shared" ref="L7:L37" si="2">IF(K7="","",1/K7)</f>
        <v>0.14144271570014144</v>
      </c>
      <c r="M7" s="24">
        <f>IF(L7="","",L7/$D$57)</f>
        <v>0.11953291926592614</v>
      </c>
    </row>
    <row r="8" spans="2:13" x14ac:dyDescent="0.3">
      <c r="B8" s="5" t="s">
        <v>10</v>
      </c>
      <c r="C8">
        <v>7.18</v>
      </c>
      <c r="D8" s="1">
        <f t="shared" si="0"/>
        <v>0.1392757660167131</v>
      </c>
      <c r="E8" s="14">
        <f>IF(D8="","",D8/$D$57)</f>
        <v>0.11770163498747882</v>
      </c>
      <c r="G8" s="17">
        <v>7.18</v>
      </c>
      <c r="H8" s="23">
        <f t="shared" si="1"/>
        <v>0.1392757660167131</v>
      </c>
      <c r="I8" s="24">
        <f>IF(H8="","",H8/$D$57)</f>
        <v>0.11770163498747882</v>
      </c>
      <c r="K8" s="17">
        <v>7.18</v>
      </c>
      <c r="L8" s="23">
        <f t="shared" si="2"/>
        <v>0.1392757660167131</v>
      </c>
      <c r="M8" s="24">
        <f>IF(L8="","",L8/$D$57)</f>
        <v>0.11770163498747882</v>
      </c>
    </row>
    <row r="9" spans="2:13" x14ac:dyDescent="0.3">
      <c r="B9" s="5" t="s">
        <v>5</v>
      </c>
      <c r="C9">
        <v>8.36</v>
      </c>
      <c r="D9" s="1">
        <f t="shared" si="0"/>
        <v>0.11961722488038279</v>
      </c>
      <c r="E9" s="14">
        <f t="shared" ref="E9:E56" si="3">IF(D9="","",D9/$D$57)</f>
        <v>0.10108824631699737</v>
      </c>
      <c r="G9" s="17">
        <v>8.36</v>
      </c>
      <c r="H9" s="23">
        <f t="shared" si="1"/>
        <v>0.11961722488038279</v>
      </c>
      <c r="I9" s="24">
        <f t="shared" ref="I9:I37" si="4">IF(H9="","",H9/$D$57)</f>
        <v>0.10108824631699737</v>
      </c>
      <c r="K9" s="17">
        <v>8.36</v>
      </c>
      <c r="L9" s="23">
        <f t="shared" si="2"/>
        <v>0.11961722488038279</v>
      </c>
      <c r="M9" s="24">
        <f t="shared" ref="M9:M37" si="5">IF(L9="","",L9/$D$57)</f>
        <v>0.10108824631699737</v>
      </c>
    </row>
    <row r="10" spans="2:13" x14ac:dyDescent="0.3">
      <c r="B10" s="5" t="s">
        <v>4</v>
      </c>
      <c r="C10">
        <v>9.2100000000000009</v>
      </c>
      <c r="D10" s="1">
        <f t="shared" si="0"/>
        <v>0.10857763300760043</v>
      </c>
      <c r="E10" s="14">
        <f t="shared" si="3"/>
        <v>9.1758712183506813E-2</v>
      </c>
      <c r="G10" s="17">
        <v>9.2100000000000009</v>
      </c>
      <c r="H10" s="23">
        <f t="shared" si="1"/>
        <v>0.10857763300760043</v>
      </c>
      <c r="I10" s="24">
        <f t="shared" si="4"/>
        <v>9.1758712183506813E-2</v>
      </c>
      <c r="K10" s="17">
        <v>9.2100000000000009</v>
      </c>
      <c r="L10" s="23">
        <f t="shared" si="2"/>
        <v>0.10857763300760043</v>
      </c>
      <c r="M10" s="24">
        <f t="shared" si="5"/>
        <v>9.1758712183506813E-2</v>
      </c>
    </row>
    <row r="11" spans="2:13" x14ac:dyDescent="0.3">
      <c r="B11" s="5" t="s">
        <v>3</v>
      </c>
      <c r="C11">
        <v>11.07</v>
      </c>
      <c r="D11" s="1">
        <f t="shared" si="0"/>
        <v>9.0334236675700091E-2</v>
      </c>
      <c r="E11" s="14">
        <f t="shared" si="3"/>
        <v>7.6341259187904048E-2</v>
      </c>
      <c r="G11" s="17">
        <v>11.07</v>
      </c>
      <c r="H11" s="23">
        <f t="shared" si="1"/>
        <v>9.0334236675700091E-2</v>
      </c>
      <c r="I11" s="24">
        <f t="shared" si="4"/>
        <v>7.6341259187904048E-2</v>
      </c>
      <c r="K11" s="17">
        <v>11.07</v>
      </c>
      <c r="L11" s="23">
        <f t="shared" si="2"/>
        <v>9.0334236675700091E-2</v>
      </c>
      <c r="M11" s="24">
        <f t="shared" si="5"/>
        <v>7.6341259187904048E-2</v>
      </c>
    </row>
    <row r="12" spans="2:13" x14ac:dyDescent="0.3">
      <c r="B12" s="5" t="s">
        <v>11</v>
      </c>
      <c r="C12">
        <v>13.29</v>
      </c>
      <c r="D12" s="1">
        <f t="shared" si="0"/>
        <v>7.5244544770504143E-2</v>
      </c>
      <c r="E12" s="14">
        <f t="shared" si="3"/>
        <v>6.3588994673446045E-2</v>
      </c>
      <c r="G12" s="17">
        <v>13.29</v>
      </c>
      <c r="H12" s="23">
        <f t="shared" si="1"/>
        <v>7.5244544770504143E-2</v>
      </c>
      <c r="I12" s="24">
        <f t="shared" si="4"/>
        <v>6.3588994673446045E-2</v>
      </c>
      <c r="K12" s="17">
        <v>13.29</v>
      </c>
      <c r="L12" s="23">
        <f t="shared" si="2"/>
        <v>7.5244544770504143E-2</v>
      </c>
      <c r="M12" s="24">
        <f t="shared" si="5"/>
        <v>6.3588994673446045E-2</v>
      </c>
    </row>
    <row r="13" spans="2:13" x14ac:dyDescent="0.3">
      <c r="B13" s="5" t="s">
        <v>12</v>
      </c>
      <c r="C13">
        <v>15</v>
      </c>
      <c r="D13" s="1">
        <f t="shared" si="0"/>
        <v>6.6666666666666666E-2</v>
      </c>
      <c r="E13" s="14">
        <f t="shared" si="3"/>
        <v>5.633984928067319E-2</v>
      </c>
      <c r="G13" s="17">
        <v>15</v>
      </c>
      <c r="H13" s="23">
        <f t="shared" si="1"/>
        <v>6.6666666666666666E-2</v>
      </c>
      <c r="I13" s="24">
        <f t="shared" si="4"/>
        <v>5.633984928067319E-2</v>
      </c>
      <c r="K13" s="17">
        <v>15</v>
      </c>
      <c r="L13" s="23">
        <f t="shared" si="2"/>
        <v>6.6666666666666666E-2</v>
      </c>
      <c r="M13" s="24">
        <f t="shared" si="5"/>
        <v>5.633984928067319E-2</v>
      </c>
    </row>
    <row r="14" spans="2:13" x14ac:dyDescent="0.3">
      <c r="B14" s="5" t="s">
        <v>13</v>
      </c>
      <c r="C14">
        <v>15.86</v>
      </c>
      <c r="D14" s="1">
        <f t="shared" si="0"/>
        <v>6.3051702395964693E-2</v>
      </c>
      <c r="E14" s="14">
        <f t="shared" si="3"/>
        <v>5.3284851148177673E-2</v>
      </c>
      <c r="G14" s="17">
        <v>15.86</v>
      </c>
      <c r="H14" s="23">
        <f t="shared" si="1"/>
        <v>6.3051702395964693E-2</v>
      </c>
      <c r="I14" s="24">
        <f t="shared" si="4"/>
        <v>5.3284851148177673E-2</v>
      </c>
      <c r="K14" s="17">
        <v>15.86</v>
      </c>
      <c r="L14" s="23">
        <f t="shared" si="2"/>
        <v>6.3051702395964693E-2</v>
      </c>
      <c r="M14" s="24">
        <f t="shared" si="5"/>
        <v>5.3284851148177673E-2</v>
      </c>
    </row>
    <row r="15" spans="2:13" x14ac:dyDescent="0.3">
      <c r="B15" s="5" t="s">
        <v>14</v>
      </c>
      <c r="C15">
        <v>30.14</v>
      </c>
      <c r="D15" s="1">
        <f t="shared" si="0"/>
        <v>3.3178500331785002E-2</v>
      </c>
      <c r="E15" s="14">
        <f t="shared" si="3"/>
        <v>2.8039075620772989E-2</v>
      </c>
      <c r="G15" s="17">
        <v>30.14</v>
      </c>
      <c r="H15" s="23">
        <f t="shared" si="1"/>
        <v>3.3178500331785002E-2</v>
      </c>
      <c r="I15" s="24">
        <f t="shared" si="4"/>
        <v>2.8039075620772989E-2</v>
      </c>
      <c r="K15" s="17">
        <v>30.14</v>
      </c>
      <c r="L15" s="23">
        <f t="shared" si="2"/>
        <v>3.3178500331785002E-2</v>
      </c>
      <c r="M15" s="24">
        <f t="shared" si="5"/>
        <v>2.8039075620772989E-2</v>
      </c>
    </row>
    <row r="16" spans="2:13" x14ac:dyDescent="0.3">
      <c r="B16" s="5" t="s">
        <v>15</v>
      </c>
      <c r="C16">
        <v>51.63</v>
      </c>
      <c r="D16" s="1">
        <f t="shared" si="0"/>
        <v>1.9368584156498159E-2</v>
      </c>
      <c r="E16" s="14">
        <f t="shared" si="3"/>
        <v>1.6368346682357114E-2</v>
      </c>
      <c r="G16" s="17">
        <v>51.63</v>
      </c>
      <c r="H16" s="23">
        <f t="shared" si="1"/>
        <v>1.9368584156498159E-2</v>
      </c>
      <c r="I16" s="24">
        <f t="shared" si="4"/>
        <v>1.6368346682357114E-2</v>
      </c>
      <c r="K16" s="17">
        <v>51.63</v>
      </c>
      <c r="L16" s="23">
        <f t="shared" si="2"/>
        <v>1.9368584156498159E-2</v>
      </c>
      <c r="M16" s="24">
        <f t="shared" si="5"/>
        <v>1.6368346682357114E-2</v>
      </c>
    </row>
    <row r="17" spans="2:13" x14ac:dyDescent="0.3">
      <c r="B17" s="5" t="s">
        <v>16</v>
      </c>
      <c r="C17">
        <v>51.71</v>
      </c>
      <c r="D17" s="1">
        <f t="shared" si="0"/>
        <v>1.9338619222587505E-2</v>
      </c>
      <c r="E17" s="14">
        <f t="shared" si="3"/>
        <v>1.6343023384453641E-2</v>
      </c>
      <c r="G17" s="17">
        <v>51.71</v>
      </c>
      <c r="H17" s="23">
        <f t="shared" si="1"/>
        <v>1.9338619222587505E-2</v>
      </c>
      <c r="I17" s="24">
        <f t="shared" si="4"/>
        <v>1.6343023384453641E-2</v>
      </c>
      <c r="K17" s="17">
        <v>51.71</v>
      </c>
      <c r="L17" s="23">
        <f t="shared" si="2"/>
        <v>1.9338619222587505E-2</v>
      </c>
      <c r="M17" s="24">
        <f t="shared" si="5"/>
        <v>1.6343023384453641E-2</v>
      </c>
    </row>
    <row r="18" spans="2:13" x14ac:dyDescent="0.3">
      <c r="B18" s="5" t="s">
        <v>17</v>
      </c>
      <c r="C18">
        <v>81.069999999999993</v>
      </c>
      <c r="D18" s="1">
        <f t="shared" si="0"/>
        <v>1.2335019119279636E-2</v>
      </c>
      <c r="E18" s="14">
        <f t="shared" si="3"/>
        <v>1.0424296770816553E-2</v>
      </c>
      <c r="G18" s="17">
        <v>81.069999999999993</v>
      </c>
      <c r="H18" s="23">
        <f t="shared" si="1"/>
        <v>1.2335019119279636E-2</v>
      </c>
      <c r="I18" s="24">
        <f t="shared" si="4"/>
        <v>1.0424296770816553E-2</v>
      </c>
      <c r="K18" s="17">
        <v>81.069999999999993</v>
      </c>
      <c r="L18" s="23">
        <f t="shared" si="2"/>
        <v>1.2335019119279636E-2</v>
      </c>
      <c r="M18" s="24">
        <f t="shared" si="5"/>
        <v>1.0424296770816553E-2</v>
      </c>
    </row>
    <row r="19" spans="2:13" x14ac:dyDescent="0.3">
      <c r="B19" s="5" t="s">
        <v>18</v>
      </c>
      <c r="C19">
        <v>81.569999999999993</v>
      </c>
      <c r="D19" s="1">
        <f t="shared" si="0"/>
        <v>1.2259409096481551E-2</v>
      </c>
      <c r="E19" s="14">
        <f t="shared" si="3"/>
        <v>1.0360398911488267E-2</v>
      </c>
      <c r="G19" s="17">
        <v>81.569999999999993</v>
      </c>
      <c r="H19" s="23">
        <f t="shared" si="1"/>
        <v>1.2259409096481551E-2</v>
      </c>
      <c r="I19" s="24">
        <f t="shared" si="4"/>
        <v>1.0360398911488267E-2</v>
      </c>
      <c r="K19" s="17">
        <v>81.569999999999993</v>
      </c>
      <c r="L19" s="23">
        <f t="shared" si="2"/>
        <v>1.2259409096481551E-2</v>
      </c>
      <c r="M19" s="24">
        <f t="shared" si="5"/>
        <v>1.0360398911488267E-2</v>
      </c>
    </row>
    <row r="20" spans="2:13" x14ac:dyDescent="0.3">
      <c r="B20" s="5" t="s">
        <v>19</v>
      </c>
      <c r="C20">
        <v>90.64</v>
      </c>
      <c r="D20" s="1">
        <f t="shared" si="0"/>
        <v>1.1032656663724626E-2</v>
      </c>
      <c r="E20" s="14">
        <f t="shared" si="3"/>
        <v>9.3236732039949019E-3</v>
      </c>
      <c r="G20" s="17">
        <v>90.64</v>
      </c>
      <c r="H20" s="23">
        <f t="shared" si="1"/>
        <v>1.1032656663724626E-2</v>
      </c>
      <c r="I20" s="24">
        <f t="shared" si="4"/>
        <v>9.3236732039949019E-3</v>
      </c>
      <c r="K20" s="17">
        <v>90.64</v>
      </c>
      <c r="L20" s="23">
        <f t="shared" si="2"/>
        <v>1.1032656663724626E-2</v>
      </c>
      <c r="M20" s="24">
        <f t="shared" si="5"/>
        <v>9.3236732039949019E-3</v>
      </c>
    </row>
    <row r="21" spans="2:13" x14ac:dyDescent="0.3">
      <c r="B21" s="5" t="s">
        <v>20</v>
      </c>
      <c r="C21">
        <v>120.78</v>
      </c>
      <c r="D21" s="1">
        <f t="shared" si="0"/>
        <v>8.2795164762377877E-3</v>
      </c>
      <c r="E21" s="14">
        <f t="shared" si="3"/>
        <v>6.9970006558213102E-3</v>
      </c>
      <c r="G21" s="17">
        <v>120.78</v>
      </c>
      <c r="H21" s="23">
        <f t="shared" si="1"/>
        <v>8.2795164762377877E-3</v>
      </c>
      <c r="I21" s="24">
        <f t="shared" si="4"/>
        <v>6.9970006558213102E-3</v>
      </c>
      <c r="K21" s="17">
        <v>120.78</v>
      </c>
      <c r="L21" s="23">
        <f t="shared" si="2"/>
        <v>8.2795164762377877E-3</v>
      </c>
      <c r="M21" s="24">
        <f t="shared" si="5"/>
        <v>6.9970006558213102E-3</v>
      </c>
    </row>
    <row r="22" spans="2:13" x14ac:dyDescent="0.3">
      <c r="B22" s="5" t="s">
        <v>22</v>
      </c>
      <c r="C22">
        <v>136.44999999999999</v>
      </c>
      <c r="D22" s="1">
        <f t="shared" si="0"/>
        <v>7.3286918285086116E-3</v>
      </c>
      <c r="E22" s="14">
        <f t="shared" si="3"/>
        <v>6.1934608956401458E-3</v>
      </c>
      <c r="G22" s="17">
        <v>136.44999999999999</v>
      </c>
      <c r="H22" s="23">
        <f t="shared" si="1"/>
        <v>7.3286918285086116E-3</v>
      </c>
      <c r="I22" s="24">
        <f t="shared" si="4"/>
        <v>6.1934608956401458E-3</v>
      </c>
      <c r="K22" s="17">
        <v>136.44999999999999</v>
      </c>
      <c r="L22" s="23">
        <f t="shared" si="2"/>
        <v>7.3286918285086116E-3</v>
      </c>
      <c r="M22" s="24">
        <f t="shared" si="5"/>
        <v>6.1934608956401458E-3</v>
      </c>
    </row>
    <row r="23" spans="2:13" x14ac:dyDescent="0.3">
      <c r="B23" s="5" t="s">
        <v>21</v>
      </c>
      <c r="C23">
        <v>150.5</v>
      </c>
      <c r="D23" s="1">
        <f t="shared" si="0"/>
        <v>6.6445182724252493E-3</v>
      </c>
      <c r="E23" s="14">
        <f t="shared" si="3"/>
        <v>5.6152673701667637E-3</v>
      </c>
      <c r="G23" s="17">
        <v>150.5</v>
      </c>
      <c r="H23" s="23">
        <f t="shared" si="1"/>
        <v>6.6445182724252493E-3</v>
      </c>
      <c r="I23" s="24">
        <f t="shared" si="4"/>
        <v>5.6152673701667637E-3</v>
      </c>
      <c r="K23" s="17">
        <v>150.5</v>
      </c>
      <c r="L23" s="23">
        <f t="shared" si="2"/>
        <v>6.6445182724252493E-3</v>
      </c>
      <c r="M23" s="24">
        <f t="shared" si="5"/>
        <v>5.6152673701667637E-3</v>
      </c>
    </row>
    <row r="24" spans="2:13" x14ac:dyDescent="0.3">
      <c r="B24" s="5" t="s">
        <v>23</v>
      </c>
      <c r="C24">
        <v>165.43</v>
      </c>
      <c r="D24" s="1">
        <f t="shared" si="0"/>
        <v>6.0448528078341293E-3</v>
      </c>
      <c r="E24" s="14">
        <f t="shared" si="3"/>
        <v>5.1084914417584351E-3</v>
      </c>
      <c r="G24" s="17">
        <v>165.43</v>
      </c>
      <c r="H24" s="23">
        <f t="shared" si="1"/>
        <v>6.0448528078341293E-3</v>
      </c>
      <c r="I24" s="24">
        <f t="shared" si="4"/>
        <v>5.1084914417584351E-3</v>
      </c>
      <c r="K24" s="17">
        <v>165.43</v>
      </c>
      <c r="L24" s="23">
        <f t="shared" si="2"/>
        <v>6.0448528078341293E-3</v>
      </c>
      <c r="M24" s="24">
        <f t="shared" si="5"/>
        <v>5.1084914417584351E-3</v>
      </c>
    </row>
    <row r="25" spans="2:13" x14ac:dyDescent="0.3">
      <c r="B25" s="5" t="s">
        <v>24</v>
      </c>
      <c r="C25">
        <v>168.75</v>
      </c>
      <c r="D25" s="1">
        <f t="shared" si="0"/>
        <v>5.9259259259259256E-3</v>
      </c>
      <c r="E25" s="14">
        <f t="shared" si="3"/>
        <v>5.0079866027265057E-3</v>
      </c>
      <c r="G25" s="17">
        <v>168.75</v>
      </c>
      <c r="H25" s="23">
        <f t="shared" si="1"/>
        <v>5.9259259259259256E-3</v>
      </c>
      <c r="I25" s="24">
        <f t="shared" si="4"/>
        <v>5.0079866027265057E-3</v>
      </c>
      <c r="K25" s="17">
        <v>168.75</v>
      </c>
      <c r="L25" s="23">
        <f t="shared" si="2"/>
        <v>5.9259259259259256E-3</v>
      </c>
      <c r="M25" s="24">
        <f t="shared" si="5"/>
        <v>5.0079866027265057E-3</v>
      </c>
    </row>
    <row r="26" spans="2:13" x14ac:dyDescent="0.3">
      <c r="B26" s="5" t="s">
        <v>25</v>
      </c>
      <c r="C26">
        <v>211.75</v>
      </c>
      <c r="D26" s="1">
        <f t="shared" si="0"/>
        <v>4.7225501770956314E-3</v>
      </c>
      <c r="E26" s="14">
        <f t="shared" si="3"/>
        <v>3.9910164779697653E-3</v>
      </c>
      <c r="G26" s="17">
        <v>211.75</v>
      </c>
      <c r="H26" s="23">
        <f t="shared" si="1"/>
        <v>4.7225501770956314E-3</v>
      </c>
      <c r="I26" s="24">
        <f t="shared" si="4"/>
        <v>3.9910164779697653E-3</v>
      </c>
      <c r="K26" s="17">
        <v>211.75</v>
      </c>
      <c r="L26" s="23">
        <f t="shared" si="2"/>
        <v>4.7225501770956314E-3</v>
      </c>
      <c r="M26" s="24">
        <f t="shared" si="5"/>
        <v>3.9910164779697653E-3</v>
      </c>
    </row>
    <row r="27" spans="2:13" x14ac:dyDescent="0.3">
      <c r="B27" s="5" t="s">
        <v>26</v>
      </c>
      <c r="C27">
        <v>229.57</v>
      </c>
      <c r="D27" s="1">
        <f t="shared" si="0"/>
        <v>4.3559698566885919E-3</v>
      </c>
      <c r="E27" s="14">
        <f t="shared" si="3"/>
        <v>3.6812202779548629E-3</v>
      </c>
      <c r="G27" s="17">
        <v>229.57</v>
      </c>
      <c r="H27" s="23">
        <f t="shared" si="1"/>
        <v>4.3559698566885919E-3</v>
      </c>
      <c r="I27" s="24">
        <f t="shared" si="4"/>
        <v>3.6812202779548629E-3</v>
      </c>
      <c r="K27" s="17">
        <v>229.57</v>
      </c>
      <c r="L27" s="23">
        <f t="shared" si="2"/>
        <v>4.3559698566885919E-3</v>
      </c>
      <c r="M27" s="24">
        <f t="shared" si="5"/>
        <v>3.6812202779548629E-3</v>
      </c>
    </row>
    <row r="28" spans="2:13" x14ac:dyDescent="0.3">
      <c r="B28" s="5" t="s">
        <v>27</v>
      </c>
      <c r="C28">
        <v>251.56</v>
      </c>
      <c r="D28" s="1">
        <f t="shared" si="0"/>
        <v>3.9751947845444429E-3</v>
      </c>
      <c r="E28" s="14">
        <f t="shared" si="3"/>
        <v>3.3594281253382808E-3</v>
      </c>
      <c r="G28" s="17">
        <v>251.56</v>
      </c>
      <c r="H28" s="23">
        <f t="shared" si="1"/>
        <v>3.9751947845444429E-3</v>
      </c>
      <c r="I28" s="24">
        <f t="shared" si="4"/>
        <v>3.3594281253382808E-3</v>
      </c>
      <c r="K28" s="17">
        <v>251.56</v>
      </c>
      <c r="L28" s="23">
        <f t="shared" si="2"/>
        <v>3.9751947845444429E-3</v>
      </c>
      <c r="M28" s="24">
        <f t="shared" si="5"/>
        <v>3.3594281253382808E-3</v>
      </c>
    </row>
    <row r="29" spans="2:13" x14ac:dyDescent="0.3">
      <c r="B29" s="5" t="s">
        <v>28</v>
      </c>
      <c r="C29">
        <v>255.13</v>
      </c>
      <c r="D29" s="1">
        <f t="shared" si="0"/>
        <v>3.9195704150825073E-3</v>
      </c>
      <c r="E29" s="14">
        <f t="shared" si="3"/>
        <v>3.3124200964610119E-3</v>
      </c>
      <c r="G29" s="17">
        <v>255.13</v>
      </c>
      <c r="H29" s="23">
        <f t="shared" si="1"/>
        <v>3.9195704150825073E-3</v>
      </c>
      <c r="I29" s="24">
        <f t="shared" si="4"/>
        <v>3.3124200964610119E-3</v>
      </c>
      <c r="K29" s="17">
        <v>255.13</v>
      </c>
      <c r="L29" s="23">
        <f t="shared" si="2"/>
        <v>3.9195704150825073E-3</v>
      </c>
      <c r="M29" s="24">
        <f t="shared" si="5"/>
        <v>3.3124200964610119E-3</v>
      </c>
    </row>
    <row r="30" spans="2:13" x14ac:dyDescent="0.3">
      <c r="B30" s="5" t="s">
        <v>29</v>
      </c>
      <c r="C30">
        <v>255.13</v>
      </c>
      <c r="D30" s="1">
        <f t="shared" si="0"/>
        <v>3.9195704150825073E-3</v>
      </c>
      <c r="E30" s="14">
        <f t="shared" si="3"/>
        <v>3.3124200964610119E-3</v>
      </c>
      <c r="G30" s="17">
        <v>255.13</v>
      </c>
      <c r="H30" s="23">
        <f t="shared" si="1"/>
        <v>3.9195704150825073E-3</v>
      </c>
      <c r="I30" s="24">
        <f t="shared" si="4"/>
        <v>3.3124200964610119E-3</v>
      </c>
      <c r="K30" s="17">
        <v>255.13</v>
      </c>
      <c r="L30" s="23">
        <f t="shared" si="2"/>
        <v>3.9195704150825073E-3</v>
      </c>
      <c r="M30" s="24">
        <f t="shared" si="5"/>
        <v>3.3124200964610119E-3</v>
      </c>
    </row>
    <row r="31" spans="2:13" x14ac:dyDescent="0.3">
      <c r="B31" s="5" t="s">
        <v>30</v>
      </c>
      <c r="C31">
        <v>255.13</v>
      </c>
      <c r="D31" s="1">
        <f t="shared" si="0"/>
        <v>3.9195704150825073E-3</v>
      </c>
      <c r="E31" s="14">
        <f t="shared" si="3"/>
        <v>3.3124200964610119E-3</v>
      </c>
      <c r="G31" s="17">
        <v>255.13</v>
      </c>
      <c r="H31" s="23">
        <f t="shared" si="1"/>
        <v>3.9195704150825073E-3</v>
      </c>
      <c r="I31" s="24">
        <f t="shared" si="4"/>
        <v>3.3124200964610119E-3</v>
      </c>
      <c r="K31" s="17">
        <v>255.13</v>
      </c>
      <c r="L31" s="23">
        <f t="shared" si="2"/>
        <v>3.9195704150825073E-3</v>
      </c>
      <c r="M31" s="24">
        <f t="shared" si="5"/>
        <v>3.3124200964610119E-3</v>
      </c>
    </row>
    <row r="32" spans="2:13" x14ac:dyDescent="0.3">
      <c r="B32" s="5" t="s">
        <v>31</v>
      </c>
      <c r="C32">
        <v>319.07</v>
      </c>
      <c r="D32" s="1">
        <f t="shared" si="0"/>
        <v>3.1341085028363681E-3</v>
      </c>
      <c r="E32" s="14">
        <f t="shared" si="3"/>
        <v>2.6486280101861593E-3</v>
      </c>
      <c r="G32" s="17">
        <v>319.07</v>
      </c>
      <c r="H32" s="23">
        <f t="shared" si="1"/>
        <v>3.1341085028363681E-3</v>
      </c>
      <c r="I32" s="24">
        <f t="shared" si="4"/>
        <v>2.6486280101861593E-3</v>
      </c>
      <c r="K32" s="17">
        <v>319.07</v>
      </c>
      <c r="L32" s="23">
        <f t="shared" si="2"/>
        <v>3.1341085028363681E-3</v>
      </c>
      <c r="M32" s="24">
        <f t="shared" si="5"/>
        <v>2.6486280101861593E-3</v>
      </c>
    </row>
    <row r="33" spans="2:13" x14ac:dyDescent="0.3">
      <c r="B33" s="5" t="s">
        <v>32</v>
      </c>
      <c r="C33">
        <v>340.84</v>
      </c>
      <c r="D33" s="1">
        <f t="shared" si="0"/>
        <v>2.933927942729727E-3</v>
      </c>
      <c r="E33" s="14">
        <f t="shared" si="3"/>
        <v>2.4794558714062256E-3</v>
      </c>
      <c r="G33" s="17">
        <v>340.84</v>
      </c>
      <c r="H33" s="23">
        <f t="shared" si="1"/>
        <v>2.933927942729727E-3</v>
      </c>
      <c r="I33" s="24">
        <f t="shared" si="4"/>
        <v>2.4794558714062256E-3</v>
      </c>
      <c r="K33" s="17">
        <v>340.84</v>
      </c>
      <c r="L33" s="23">
        <f t="shared" si="2"/>
        <v>2.933927942729727E-3</v>
      </c>
      <c r="M33" s="24">
        <f t="shared" si="5"/>
        <v>2.4794558714062256E-3</v>
      </c>
    </row>
    <row r="34" spans="2:13" x14ac:dyDescent="0.3">
      <c r="B34" s="5" t="s">
        <v>33</v>
      </c>
      <c r="C34">
        <v>502.25</v>
      </c>
      <c r="D34" s="1">
        <f t="shared" si="0"/>
        <v>1.9910403185664509E-3</v>
      </c>
      <c r="E34" s="14">
        <f t="shared" si="3"/>
        <v>1.6826236718966608E-3</v>
      </c>
      <c r="G34" s="17">
        <v>502.25</v>
      </c>
      <c r="H34" s="23">
        <f t="shared" si="1"/>
        <v>1.9910403185664509E-3</v>
      </c>
      <c r="I34" s="24">
        <f t="shared" si="4"/>
        <v>1.6826236718966608E-3</v>
      </c>
      <c r="K34" s="17">
        <v>502.25</v>
      </c>
      <c r="L34" s="23">
        <f t="shared" si="2"/>
        <v>1.9910403185664509E-3</v>
      </c>
      <c r="M34" s="24">
        <f t="shared" si="5"/>
        <v>1.6826236718966608E-3</v>
      </c>
    </row>
    <row r="35" spans="2:13" x14ac:dyDescent="0.3">
      <c r="B35" s="5" t="s">
        <v>34</v>
      </c>
      <c r="C35">
        <v>651.21</v>
      </c>
      <c r="D35" s="1">
        <f t="shared" si="0"/>
        <v>1.5356029545000843E-3</v>
      </c>
      <c r="E35" s="14">
        <f t="shared" si="3"/>
        <v>1.2977345851723681E-3</v>
      </c>
      <c r="G35" s="17">
        <v>651.21</v>
      </c>
      <c r="H35" s="23">
        <f t="shared" si="1"/>
        <v>1.5356029545000843E-3</v>
      </c>
      <c r="I35" s="24">
        <f t="shared" si="4"/>
        <v>1.2977345851723681E-3</v>
      </c>
      <c r="K35" s="17">
        <v>651.21</v>
      </c>
      <c r="L35" s="23">
        <f t="shared" si="2"/>
        <v>1.5356029545000843E-3</v>
      </c>
      <c r="M35" s="24">
        <f t="shared" si="5"/>
        <v>1.2977345851723681E-3</v>
      </c>
    </row>
    <row r="36" spans="2:13" x14ac:dyDescent="0.3">
      <c r="B36" s="5" t="s">
        <v>35</v>
      </c>
      <c r="C36">
        <v>787.28</v>
      </c>
      <c r="D36" s="1">
        <f t="shared" si="0"/>
        <v>1.2701961182806625E-3</v>
      </c>
      <c r="E36" s="14">
        <f t="shared" si="3"/>
        <v>1.0734398679124299E-3</v>
      </c>
      <c r="G36" s="17">
        <v>787.28</v>
      </c>
      <c r="H36" s="23">
        <f t="shared" si="1"/>
        <v>1.2701961182806625E-3</v>
      </c>
      <c r="I36" s="24">
        <f t="shared" si="4"/>
        <v>1.0734398679124299E-3</v>
      </c>
      <c r="K36" s="17">
        <v>787.28</v>
      </c>
      <c r="L36" s="23">
        <f t="shared" si="2"/>
        <v>1.2701961182806625E-3</v>
      </c>
      <c r="M36" s="24">
        <f t="shared" si="5"/>
        <v>1.0734398679124299E-3</v>
      </c>
    </row>
    <row r="37" spans="2:13" x14ac:dyDescent="0.3">
      <c r="B37" s="5" t="s">
        <v>36</v>
      </c>
      <c r="C37">
        <v>787.28</v>
      </c>
      <c r="D37" s="1">
        <f t="shared" si="0"/>
        <v>1.2701961182806625E-3</v>
      </c>
      <c r="E37" s="14">
        <f t="shared" si="3"/>
        <v>1.0734398679124299E-3</v>
      </c>
      <c r="G37" s="17">
        <v>787.28</v>
      </c>
      <c r="H37" s="23">
        <f t="shared" si="1"/>
        <v>1.2701961182806625E-3</v>
      </c>
      <c r="I37" s="24">
        <f t="shared" si="4"/>
        <v>1.0734398679124299E-3</v>
      </c>
      <c r="K37" s="17">
        <v>787.28</v>
      </c>
      <c r="L37" s="23">
        <f t="shared" si="2"/>
        <v>1.2701961182806625E-3</v>
      </c>
      <c r="M37" s="24">
        <f t="shared" si="5"/>
        <v>1.0734398679124299E-3</v>
      </c>
    </row>
    <row r="38" spans="2:13" x14ac:dyDescent="0.3">
      <c r="B38" s="5"/>
      <c r="D38" s="1" t="str">
        <f t="shared" si="0"/>
        <v/>
      </c>
      <c r="E38" s="14" t="str">
        <f t="shared" si="3"/>
        <v/>
      </c>
      <c r="G38" s="17"/>
      <c r="H38" s="23"/>
      <c r="I38" s="24"/>
      <c r="K38" s="17"/>
      <c r="L38" s="23"/>
      <c r="M38" s="24"/>
    </row>
    <row r="39" spans="2:13" x14ac:dyDescent="0.3">
      <c r="B39" s="5"/>
      <c r="D39" s="1" t="str">
        <f t="shared" si="0"/>
        <v/>
      </c>
      <c r="E39" s="14" t="str">
        <f t="shared" si="3"/>
        <v/>
      </c>
      <c r="G39" s="17"/>
      <c r="H39" s="23"/>
      <c r="I39" s="24"/>
      <c r="K39" s="17"/>
      <c r="L39" s="23"/>
      <c r="M39" s="24"/>
    </row>
    <row r="40" spans="2:13" x14ac:dyDescent="0.3">
      <c r="B40" s="5"/>
      <c r="D40" s="1" t="str">
        <f t="shared" si="0"/>
        <v/>
      </c>
      <c r="E40" s="14" t="str">
        <f t="shared" si="3"/>
        <v/>
      </c>
      <c r="G40" s="17"/>
      <c r="H40" s="23"/>
      <c r="I40" s="24"/>
      <c r="K40" s="17"/>
      <c r="L40" s="23"/>
      <c r="M40" s="24"/>
    </row>
    <row r="41" spans="2:13" x14ac:dyDescent="0.3">
      <c r="B41" s="5"/>
      <c r="D41" s="1" t="str">
        <f t="shared" si="0"/>
        <v/>
      </c>
      <c r="E41" s="14" t="str">
        <f t="shared" si="3"/>
        <v/>
      </c>
      <c r="G41" s="17"/>
      <c r="H41" s="23"/>
      <c r="I41" s="24"/>
      <c r="K41" s="17"/>
      <c r="L41" s="23"/>
      <c r="M41" s="24"/>
    </row>
    <row r="42" spans="2:13" x14ac:dyDescent="0.3">
      <c r="B42" s="5"/>
      <c r="D42" s="1" t="str">
        <f t="shared" si="0"/>
        <v/>
      </c>
      <c r="E42" s="14" t="str">
        <f t="shared" si="3"/>
        <v/>
      </c>
      <c r="G42" s="17"/>
      <c r="H42" s="23"/>
      <c r="I42" s="24"/>
      <c r="K42" s="17"/>
      <c r="L42" s="23"/>
      <c r="M42" s="24"/>
    </row>
    <row r="43" spans="2:13" x14ac:dyDescent="0.3">
      <c r="B43" s="5"/>
      <c r="D43" s="1" t="str">
        <f t="shared" si="0"/>
        <v/>
      </c>
      <c r="E43" s="14" t="str">
        <f t="shared" si="3"/>
        <v/>
      </c>
      <c r="G43" s="17"/>
      <c r="H43" s="23"/>
      <c r="I43" s="24"/>
      <c r="K43" s="17"/>
      <c r="L43" s="23"/>
      <c r="M43" s="24"/>
    </row>
    <row r="44" spans="2:13" x14ac:dyDescent="0.3">
      <c r="B44" s="5"/>
      <c r="D44" s="1" t="str">
        <f t="shared" si="0"/>
        <v/>
      </c>
      <c r="E44" s="14" t="str">
        <f t="shared" si="3"/>
        <v/>
      </c>
      <c r="G44" s="17"/>
      <c r="H44" s="23"/>
      <c r="I44" s="24"/>
      <c r="K44" s="17"/>
      <c r="L44" s="23"/>
      <c r="M44" s="24"/>
    </row>
    <row r="45" spans="2:13" x14ac:dyDescent="0.3">
      <c r="B45" s="5"/>
      <c r="D45" s="1" t="str">
        <f t="shared" si="0"/>
        <v/>
      </c>
      <c r="E45" s="14" t="str">
        <f t="shared" si="3"/>
        <v/>
      </c>
      <c r="G45" s="17"/>
      <c r="H45" s="23"/>
      <c r="I45" s="24"/>
      <c r="K45" s="17"/>
      <c r="L45" s="23"/>
      <c r="M45" s="24"/>
    </row>
    <row r="46" spans="2:13" x14ac:dyDescent="0.3">
      <c r="B46" s="5"/>
      <c r="D46" s="1" t="str">
        <f t="shared" si="0"/>
        <v/>
      </c>
      <c r="E46" s="14" t="str">
        <f t="shared" si="3"/>
        <v/>
      </c>
      <c r="G46" s="17"/>
      <c r="H46" s="23"/>
      <c r="I46" s="24"/>
      <c r="K46" s="17"/>
      <c r="L46" s="23"/>
      <c r="M46" s="24"/>
    </row>
    <row r="47" spans="2:13" x14ac:dyDescent="0.3">
      <c r="B47" s="5"/>
      <c r="D47" s="1" t="str">
        <f t="shared" si="0"/>
        <v/>
      </c>
      <c r="E47" s="14" t="str">
        <f t="shared" si="3"/>
        <v/>
      </c>
      <c r="G47" s="17"/>
      <c r="H47" s="23"/>
      <c r="I47" s="24"/>
      <c r="K47" s="17"/>
      <c r="L47" s="23"/>
      <c r="M47" s="24"/>
    </row>
    <row r="48" spans="2:13" x14ac:dyDescent="0.3">
      <c r="B48" s="5"/>
      <c r="D48" s="1"/>
      <c r="E48" s="14"/>
      <c r="G48" s="17"/>
      <c r="H48" s="23"/>
      <c r="I48" s="24"/>
      <c r="K48" s="17"/>
      <c r="L48" s="23"/>
      <c r="M48" s="24"/>
    </row>
    <row r="49" spans="2:13" x14ac:dyDescent="0.3">
      <c r="B49" s="5"/>
      <c r="D49" s="1"/>
      <c r="E49" s="14"/>
      <c r="G49" s="17"/>
      <c r="H49" s="23"/>
      <c r="I49" s="24"/>
      <c r="K49" s="17"/>
      <c r="L49" s="23"/>
      <c r="M49" s="24"/>
    </row>
    <row r="50" spans="2:13" x14ac:dyDescent="0.3">
      <c r="B50" s="5"/>
      <c r="D50" s="1"/>
      <c r="E50" s="14"/>
      <c r="G50" s="17"/>
      <c r="H50" s="23"/>
      <c r="I50" s="24"/>
      <c r="K50" s="17"/>
      <c r="L50" s="23"/>
      <c r="M50" s="24"/>
    </row>
    <row r="51" spans="2:13" x14ac:dyDescent="0.3">
      <c r="B51" s="5"/>
      <c r="D51" s="1" t="str">
        <f t="shared" si="0"/>
        <v/>
      </c>
      <c r="E51" s="14" t="str">
        <f t="shared" si="3"/>
        <v/>
      </c>
      <c r="G51" s="17"/>
      <c r="H51" s="23"/>
      <c r="I51" s="24"/>
      <c r="K51" s="17"/>
      <c r="L51" s="23"/>
      <c r="M51" s="24"/>
    </row>
    <row r="52" spans="2:13" x14ac:dyDescent="0.3">
      <c r="B52" s="5"/>
      <c r="D52" s="1" t="str">
        <f t="shared" si="0"/>
        <v/>
      </c>
      <c r="E52" s="14" t="str">
        <f t="shared" si="3"/>
        <v/>
      </c>
      <c r="G52" s="17"/>
      <c r="H52" s="23"/>
      <c r="I52" s="24"/>
      <c r="K52" s="17"/>
      <c r="L52" s="23"/>
      <c r="M52" s="24"/>
    </row>
    <row r="53" spans="2:13" x14ac:dyDescent="0.3">
      <c r="B53" s="5"/>
      <c r="D53" s="1" t="str">
        <f t="shared" si="0"/>
        <v/>
      </c>
      <c r="E53" s="14" t="str">
        <f t="shared" si="3"/>
        <v/>
      </c>
      <c r="G53" s="17"/>
      <c r="H53" s="23"/>
      <c r="I53" s="24"/>
      <c r="K53" s="17"/>
      <c r="L53" s="23"/>
      <c r="M53" s="24"/>
    </row>
    <row r="54" spans="2:13" x14ac:dyDescent="0.3">
      <c r="B54" s="5"/>
      <c r="D54" s="1" t="str">
        <f t="shared" si="0"/>
        <v/>
      </c>
      <c r="E54" s="14" t="str">
        <f t="shared" si="3"/>
        <v/>
      </c>
      <c r="G54" s="17"/>
      <c r="H54" s="23"/>
      <c r="I54" s="24"/>
      <c r="K54" s="17"/>
      <c r="L54" s="23"/>
      <c r="M54" s="24"/>
    </row>
    <row r="55" spans="2:13" x14ac:dyDescent="0.3">
      <c r="B55" s="5"/>
      <c r="D55" s="1" t="str">
        <f t="shared" si="0"/>
        <v/>
      </c>
      <c r="E55" s="14" t="str">
        <f t="shared" si="3"/>
        <v/>
      </c>
      <c r="G55" s="17"/>
      <c r="H55" s="23"/>
      <c r="I55" s="24"/>
      <c r="K55" s="17"/>
      <c r="L55" s="23"/>
      <c r="M55" s="24"/>
    </row>
    <row r="56" spans="2:13" ht="15" thickBot="1" x14ac:dyDescent="0.35">
      <c r="B56" s="6"/>
      <c r="C56" s="7"/>
      <c r="D56" s="1" t="str">
        <f t="shared" si="0"/>
        <v/>
      </c>
      <c r="E56" s="14" t="str">
        <f t="shared" si="3"/>
        <v/>
      </c>
      <c r="G56" s="25"/>
      <c r="H56" s="26"/>
      <c r="I56" s="27"/>
      <c r="K56" s="25"/>
      <c r="L56" s="26"/>
      <c r="M56" s="27"/>
    </row>
    <row r="57" spans="2:13" ht="15" thickBot="1" x14ac:dyDescent="0.35">
      <c r="B57" s="6" t="s">
        <v>2</v>
      </c>
      <c r="C57" s="7"/>
      <c r="D57" s="8">
        <f>SUM(D6:D56)</f>
        <v>1.183295083636938</v>
      </c>
      <c r="E57" s="15">
        <f>SUM(E6:E56)</f>
        <v>0.99999999999999978</v>
      </c>
      <c r="G57" s="17"/>
      <c r="H57" s="17"/>
      <c r="I57" s="17"/>
      <c r="K57" s="17"/>
      <c r="L57" s="17"/>
      <c r="M57" s="17"/>
    </row>
    <row r="58" spans="2:13" x14ac:dyDescent="0.3">
      <c r="D58" s="1"/>
      <c r="E58" s="13"/>
      <c r="G58" s="17"/>
      <c r="H58" s="17"/>
      <c r="I58" s="17"/>
      <c r="K58" s="17"/>
      <c r="L58" s="17"/>
      <c r="M58" s="17"/>
    </row>
    <row r="59" spans="2:13" x14ac:dyDescent="0.3">
      <c r="D59" s="1"/>
      <c r="E59" s="13"/>
      <c r="G59" s="17"/>
      <c r="H59" s="17"/>
      <c r="I59" s="17"/>
      <c r="K59" s="17"/>
      <c r="L59" s="17"/>
      <c r="M59" s="17"/>
    </row>
    <row r="60" spans="2:13" x14ac:dyDescent="0.3">
      <c r="D60" s="1"/>
      <c r="E60" s="13"/>
      <c r="G60" s="17"/>
      <c r="H60" s="17"/>
      <c r="I60" s="17"/>
      <c r="K60" s="17"/>
      <c r="L60" s="17"/>
      <c r="M60" s="17"/>
    </row>
    <row r="61" spans="2:13" x14ac:dyDescent="0.3">
      <c r="D61" s="1"/>
      <c r="E61" s="13"/>
      <c r="G61" s="17"/>
      <c r="H61" s="17"/>
      <c r="I61" s="17"/>
      <c r="K61" s="17"/>
      <c r="L61" s="17"/>
      <c r="M61" s="17"/>
    </row>
    <row r="62" spans="2:13" x14ac:dyDescent="0.3">
      <c r="D62" s="1"/>
      <c r="E62" s="13"/>
      <c r="G62" s="17"/>
      <c r="H62" s="17"/>
      <c r="I62" s="17"/>
      <c r="K62" s="17"/>
      <c r="L62" s="17"/>
      <c r="M62" s="17"/>
    </row>
    <row r="63" spans="2:13" x14ac:dyDescent="0.3">
      <c r="D63" s="1"/>
      <c r="E63" s="13"/>
      <c r="G63" s="17"/>
      <c r="H63" s="17"/>
      <c r="I63" s="17"/>
      <c r="K63" s="17"/>
      <c r="L63" s="17"/>
      <c r="M63" s="17"/>
    </row>
    <row r="64" spans="2:13" x14ac:dyDescent="0.3">
      <c r="D64" s="1"/>
      <c r="E64" s="13"/>
      <c r="G64" s="17"/>
      <c r="H64" s="17"/>
      <c r="I64" s="17"/>
      <c r="K64" s="17"/>
      <c r="L64" s="17"/>
      <c r="M64" s="17"/>
    </row>
    <row r="65" spans="4:13" x14ac:dyDescent="0.3">
      <c r="D65" s="1"/>
      <c r="E65" s="13"/>
      <c r="G65" s="17"/>
      <c r="H65" s="17"/>
      <c r="I65" s="17"/>
      <c r="K65" s="17"/>
      <c r="L65" s="17"/>
      <c r="M65" s="17"/>
    </row>
    <row r="66" spans="4:13" x14ac:dyDescent="0.3">
      <c r="D66" s="1"/>
      <c r="E66" s="13"/>
      <c r="G66" s="17"/>
      <c r="H66" s="17"/>
      <c r="I66" s="17"/>
      <c r="K66" s="17"/>
      <c r="L66" s="17"/>
      <c r="M66" s="17"/>
    </row>
    <row r="67" spans="4:13" x14ac:dyDescent="0.3">
      <c r="D67" s="1"/>
      <c r="E67" s="13"/>
      <c r="G67" s="17"/>
      <c r="H67" s="17"/>
      <c r="I67" s="17"/>
      <c r="K67" s="17"/>
      <c r="L67" s="17"/>
      <c r="M67" s="17"/>
    </row>
    <row r="68" spans="4:13" x14ac:dyDescent="0.3">
      <c r="D68" s="1"/>
      <c r="E68" s="13"/>
      <c r="G68" s="17"/>
      <c r="H68" s="17"/>
      <c r="I68" s="17"/>
      <c r="K68" s="17"/>
      <c r="L68" s="17"/>
      <c r="M68" s="17"/>
    </row>
    <row r="69" spans="4:13" x14ac:dyDescent="0.3">
      <c r="D69" s="1"/>
      <c r="E69" s="13"/>
      <c r="G69" s="17"/>
      <c r="H69" s="17"/>
      <c r="I69" s="17"/>
      <c r="K69" s="17"/>
      <c r="L69" s="17"/>
      <c r="M69" s="17"/>
    </row>
    <row r="70" spans="4:13" x14ac:dyDescent="0.3">
      <c r="D70" s="1"/>
      <c r="E70" s="13"/>
      <c r="G70" s="17"/>
      <c r="H70" s="17"/>
      <c r="I70" s="17"/>
      <c r="K70" s="17"/>
      <c r="L70" s="17"/>
      <c r="M70" s="17"/>
    </row>
    <row r="71" spans="4:13" x14ac:dyDescent="0.3">
      <c r="D71" s="1"/>
      <c r="E71" s="13"/>
      <c r="G71" s="17"/>
      <c r="H71" s="17"/>
      <c r="I71" s="17"/>
      <c r="K71" s="17"/>
      <c r="L71" s="17"/>
      <c r="M71" s="17"/>
    </row>
    <row r="72" spans="4:13" x14ac:dyDescent="0.3">
      <c r="D72" s="1"/>
      <c r="E72" s="13"/>
      <c r="G72" s="17"/>
      <c r="H72" s="17"/>
      <c r="I72" s="17"/>
      <c r="K72" s="17"/>
      <c r="L72" s="17"/>
      <c r="M72" s="17"/>
    </row>
    <row r="73" spans="4:13" x14ac:dyDescent="0.3">
      <c r="D73" s="1"/>
      <c r="E73" s="13"/>
      <c r="G73" s="17"/>
      <c r="H73" s="17"/>
      <c r="I73" s="17"/>
      <c r="K73" s="17"/>
      <c r="L73" s="17"/>
      <c r="M73" s="17"/>
    </row>
    <row r="74" spans="4:13" x14ac:dyDescent="0.3">
      <c r="D74" s="1"/>
      <c r="E74" s="13"/>
      <c r="G74" s="17"/>
      <c r="H74" s="17"/>
      <c r="I74" s="17"/>
      <c r="K74" s="17"/>
      <c r="L74" s="17"/>
      <c r="M74" s="17"/>
    </row>
    <row r="75" spans="4:13" x14ac:dyDescent="0.3">
      <c r="D75" s="1"/>
      <c r="E75" s="13"/>
      <c r="G75" s="17"/>
      <c r="H75" s="17"/>
      <c r="I75" s="17"/>
      <c r="K75" s="17"/>
      <c r="L75" s="17"/>
      <c r="M75" s="17"/>
    </row>
    <row r="76" spans="4:13" x14ac:dyDescent="0.3">
      <c r="D76" s="1"/>
      <c r="E76" s="13"/>
      <c r="G76" s="17"/>
      <c r="H76" s="17"/>
      <c r="I76" s="17"/>
      <c r="K76" s="17"/>
      <c r="L76" s="17"/>
      <c r="M76" s="17"/>
    </row>
    <row r="77" spans="4:13" x14ac:dyDescent="0.3">
      <c r="D77" s="1"/>
      <c r="E77" s="13"/>
      <c r="G77" s="17"/>
      <c r="H77" s="17"/>
      <c r="I77" s="17"/>
      <c r="K77" s="17"/>
      <c r="L77" s="17"/>
      <c r="M77" s="17"/>
    </row>
    <row r="78" spans="4:13" x14ac:dyDescent="0.3">
      <c r="D78" s="1"/>
      <c r="E78" s="13"/>
      <c r="G78" s="17"/>
      <c r="H78" s="17"/>
      <c r="I78" s="17"/>
      <c r="K78" s="17"/>
      <c r="L78" s="17"/>
      <c r="M78" s="17"/>
    </row>
    <row r="79" spans="4:13" x14ac:dyDescent="0.3">
      <c r="D79" s="1"/>
      <c r="E79" s="13"/>
      <c r="G79" s="17"/>
      <c r="H79" s="17"/>
      <c r="I79" s="17"/>
      <c r="K79" s="17"/>
      <c r="L79" s="17"/>
      <c r="M79" s="17"/>
    </row>
    <row r="80" spans="4:13" x14ac:dyDescent="0.3">
      <c r="D80" s="1"/>
      <c r="E80" s="13"/>
      <c r="G80" s="17"/>
      <c r="H80" s="17"/>
      <c r="I80" s="17"/>
      <c r="K80" s="17"/>
      <c r="L80" s="17"/>
      <c r="M80" s="17"/>
    </row>
    <row r="81" spans="4:13" x14ac:dyDescent="0.3">
      <c r="D81" s="1"/>
      <c r="E81" s="13"/>
      <c r="G81" s="17"/>
      <c r="H81" s="17"/>
      <c r="I81" s="17"/>
      <c r="K81" s="17"/>
      <c r="L81" s="17"/>
      <c r="M81" s="17"/>
    </row>
    <row r="82" spans="4:13" x14ac:dyDescent="0.3">
      <c r="D82" s="1"/>
      <c r="E82" s="13"/>
      <c r="G82" s="17"/>
      <c r="H82" s="17"/>
      <c r="I82" s="17"/>
      <c r="K82" s="17"/>
      <c r="L82" s="17"/>
      <c r="M82" s="17"/>
    </row>
    <row r="83" spans="4:13" x14ac:dyDescent="0.3">
      <c r="D83" s="1"/>
      <c r="E83" s="13"/>
      <c r="G83" s="17"/>
      <c r="H83" s="17"/>
      <c r="I83" s="17"/>
      <c r="K83" s="17"/>
      <c r="L83" s="17"/>
      <c r="M83" s="17"/>
    </row>
    <row r="84" spans="4:13" x14ac:dyDescent="0.3">
      <c r="D84" s="1"/>
      <c r="E84" s="13"/>
      <c r="G84" s="17"/>
      <c r="H84" s="17"/>
      <c r="I84" s="17"/>
      <c r="K84" s="17"/>
      <c r="L84" s="17"/>
      <c r="M84" s="17"/>
    </row>
    <row r="85" spans="4:13" x14ac:dyDescent="0.3">
      <c r="D85" s="1"/>
      <c r="E85" s="13"/>
      <c r="G85" s="17"/>
      <c r="H85" s="17"/>
      <c r="I85" s="17"/>
      <c r="K85" s="17"/>
      <c r="L85" s="17"/>
      <c r="M85" s="17"/>
    </row>
    <row r="86" spans="4:13" x14ac:dyDescent="0.3">
      <c r="D86" s="1"/>
      <c r="E86" s="13"/>
      <c r="G86" s="17"/>
      <c r="H86" s="17"/>
      <c r="I86" s="17"/>
      <c r="K86" s="17"/>
      <c r="L86" s="17"/>
      <c r="M86" s="17"/>
    </row>
    <row r="87" spans="4:13" x14ac:dyDescent="0.3">
      <c r="D87" s="1"/>
      <c r="E87" s="13"/>
      <c r="G87" s="17"/>
      <c r="H87" s="17"/>
      <c r="I87" s="17"/>
      <c r="K87" s="17"/>
      <c r="L87" s="17"/>
      <c r="M87" s="17"/>
    </row>
    <row r="88" spans="4:13" x14ac:dyDescent="0.3">
      <c r="D88" s="1"/>
      <c r="E88" s="13"/>
      <c r="G88" s="17"/>
      <c r="H88" s="17"/>
      <c r="I88" s="17"/>
      <c r="K88" s="17"/>
      <c r="L88" s="17"/>
      <c r="M88" s="1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Oddspedia</vt:lpstr>
      <vt:lpstr>Betbrain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Wunderlich, Fabian</dc:creator>
  <cp:lastModifiedBy>Lukas Gardeweg</cp:lastModifiedBy>
  <dcterms:created xsi:type="dcterms:W3CDTF">2021-05-16T10:18:33Z</dcterms:created>
  <dcterms:modified xsi:type="dcterms:W3CDTF">2026-06-01T08:56:29Z</dcterms:modified>
</cp:coreProperties>
</file>